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6\workspace_guide\SPI\SPI_LC_iq\docs\sfra\"/>
    </mc:Choice>
  </mc:AlternateContent>
  <bookViews>
    <workbookView windowWidth="24750" windowHeight="10480" activeTab="1"/>
  </bookViews>
  <sheets>
    <sheet name="说明" sheetId="1" r:id="rId1"/>
    <sheet name="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<sst xmlns="http://schemas.openxmlformats.org/spreadsheetml/2006/main" count="42" uniqueCount="39">
  <si>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SFRA 扫频结果换算模板（SPI_LC_iq，100 点 100Hz~5kHz）</t>
  </si>
  <si>
    <t/>
  </si>
  <si>
    <t>一、怎么用</t>
  </si>
  <si>
    <t>1. 打开 Sheet「数据」，A~E 五列粘贴 CCS Save Memory 导出的原始数：</t>
  </si>
  <si>
    <t xml:space="preserve">     A = FreqVect（float32，Hz）    B = OL_MagVect    C = OL_PhaseVect</t>
  </si>
  <si>
    <t xml:space="preserve">     D = Plant_MagVect             E = Plant_PhaseVect（都是 int32 原始值）</t>
  </si>
  <si>
    <t>2. F~I 列自动换算；J~M 列自动做零阶保持校正；两张图用的是 J~M。</t>
  </si>
  <si>
    <t>二、换算：为什么只除 65536</t>
  </si>
  <si>
    <t xml:space="preserve">   反汇编 SFRA_IQ_Lib(v1.20 IQ) 里：幅度算完乘 0x08AF96 = 569238 = (20/ln10)x65536；</t>
  </si>
  <si>
    <t xml:space="preserve">   相位算完乘 0x394BB8 = 3754936 = (180/pi)x65536。</t>
  </si>
  <si>
    <t xml:space="preserve">   所以数组里已经是 dB 和度，只是 Q16（x65536）。除以 65536 即可，不要再 log10。</t>
  </si>
  <si>
    <t>三、零阶保持(ZOH)校正：5kHz 必须做</t>
  </si>
  <si>
    <t xml:space="preserve">   占空比每个开关周期(50us)才更新一次，等效于零阶保持：</t>
  </si>
  <si>
    <t xml:space="preserve">      相位滞后 = 180 * f / fs 度      （2kHz:18°  3kHz:27°  4kHz:36°  5kHz:45°）</t>
  </si>
  <si>
    <t xml:space="preserve">      幅值衰减 = 20*log10|sinc(f/fs)|  （2kHz:-0.14dB  5kHz:-0.91dB）</t>
  </si>
  <si>
    <t xml:space="preserve">   校正公式（模板里已内置）：</t>
  </si>
  <si>
    <t xml:space="preserve">      幅度校正 = 换算值 - 20*LOG10|sin(pi*f/fs)/(pi*f/fs)|</t>
  </si>
  <si>
    <t xml:space="preserve">      相位校正 = 换算值 + 180*f/fs</t>
  </si>
  <si>
    <t xml:space="preserve">   ★ 注意：这是「理论可修正」的那部分。5kHz 已经是 fs/4，每个扰动周期只有 4 个采样点，</t>
  </si>
  <si>
    <t xml:space="preserve">     20kHz 开关纹波会混进测量，这部分误差无法用公式去掉。</t>
  </si>
  <si>
    <t xml:space="preserve">     =&gt; 100Hz~2kHz 数据可信；2~3kHz 尚可；4~5kHz 只当趋势看（±1dB / ±10°以上）。</t>
  </si>
  <si>
    <t xml:space="preserve">     =&gt; 想把 5kHz 测准，只能把 fsw 提到 40kHz 以上（TBPRD 750 + 重算 Ts 相关系数）。</t>
  </si>
  <si>
    <t>四、读图</t>
  </si>
  <si>
    <t xml:space="preserve">   · OL = 开环增益（含补偿器）；Plant = 受控体本身</t>
  </si>
  <si>
    <t xml:space="preserve">   · 每点固定 3.28 s，100 点约 328 s；SfraDone=1 才是完整数据</t>
  </si>
  <si>
    <t xml:space="preserve">   · 相位若在 ±180 处跳变，是正常的卷绕现象，不是数据错误</t>
  </si>
  <si>
    <t>Frequency (Hz)</t>
  </si>
  <si>
    <t>OL_Mag (raw)</t>
  </si>
  <si>
    <t>OL_Phase (raw)</t>
  </si>
  <si>
    <t>Plant_Mag (raw)</t>
  </si>
  <si>
    <t>Plant_Phase (raw)</t>
  </si>
  <si>
    <t>OL Mag (dB)</t>
  </si>
  <si>
    <t>OL Phase (deg)</t>
  </si>
  <si>
    <t>Plant Mag (dB)</t>
  </si>
  <si>
    <t>Plant Phase (deg)</t>
  </si>
  <si>
    <t>OL Mag 校正(dB)</t>
  </si>
  <si>
    <t>OL Phase 校正(deg)</t>
  </si>
  <si>
    <t>Plant Mag 校正(dB)</t>
  </si>
  <si>
    <t>Plant Phase 校正(deg)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</si>
</sst>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color rgb="FF1F3864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1F386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76" fontId="0" fillId="0" borderId="0" xfId="0" applyNumberForma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幅频特性（已做 ZOH 校正）</a:t>
            </a:r>
          </a:p>
        </c:rich>
      </c:tx>
      <c:layout/>
      <c:overlay val="0"/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"OL (开环增益)"</c:f>
              <c:strCache>
                <c:ptCount val="1"/>
                <c:pt idx="0">
                  <c:v>OL (开环增益)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数据!$A$2:$A$101</c:f>
              <c:numCache>
                <c:formatCode>General</c:formatCode>
                <c:ptCount val="100"/>
                <c:pt idx="0">
                  <c:v>100</c:v>
                </c:pt>
                <c:pt idx="1">
                  <c:v>104.030708</c:v>
                </c:pt>
                <c:pt idx="2">
                  <c:v>108.223877</c:v>
                </c:pt>
                <c:pt idx="3">
                  <c:v>112.58606</c:v>
                </c:pt>
                <c:pt idx="4">
                  <c:v>117.124069</c:v>
                </c:pt>
                <c:pt idx="5">
                  <c:v>121.844994</c:v>
                </c:pt>
                <c:pt idx="6">
                  <c:v>126.756203</c:v>
                </c:pt>
                <c:pt idx="7">
                  <c:v>131.865372</c:v>
                </c:pt>
                <c:pt idx="8">
                  <c:v>137.180481</c:v>
                </c:pt>
                <c:pt idx="9">
                  <c:v>142.709824</c:v>
                </c:pt>
                <c:pt idx="10">
                  <c:v>148.462036</c:v>
                </c:pt>
                <c:pt idx="11">
                  <c:v>154.446106</c:v>
                </c:pt>
                <c:pt idx="12">
                  <c:v>160.671371</c:v>
                </c:pt>
                <c:pt idx="13">
                  <c:v>167.147552</c:v>
                </c:pt>
                <c:pt idx="14">
                  <c:v>173.884781</c:v>
                </c:pt>
                <c:pt idx="15">
                  <c:v>180.89357</c:v>
                </c:pt>
                <c:pt idx="16">
                  <c:v>188.18486</c:v>
                </c:pt>
                <c:pt idx="17">
                  <c:v>195.770035</c:v>
                </c:pt>
                <c:pt idx="18">
                  <c:v>203.66095</c:v>
                </c:pt>
                <c:pt idx="19">
                  <c:v>211.869919</c:v>
                </c:pt>
                <c:pt idx="20">
                  <c:v>220.409775</c:v>
                </c:pt>
                <c:pt idx="21">
                  <c:v>229.293839</c:v>
                </c:pt>
                <c:pt idx="22">
                  <c:v>238.535995</c:v>
                </c:pt>
                <c:pt idx="23">
                  <c:v>248.150681</c:v>
                </c:pt>
                <c:pt idx="24">
                  <c:v>258.152893</c:v>
                </c:pt>
                <c:pt idx="25">
                  <c:v>268.558289</c:v>
                </c:pt>
                <c:pt idx="26">
                  <c:v>279.383087</c:v>
                </c:pt>
                <c:pt idx="27">
                  <c:v>290.644196</c:v>
                </c:pt>
                <c:pt idx="28">
                  <c:v>302.359192</c:v>
                </c:pt>
                <c:pt idx="29">
                  <c:v>314.546387</c:v>
                </c:pt>
                <c:pt idx="30">
                  <c:v>327.224823</c:v>
                </c:pt>
                <c:pt idx="31">
                  <c:v>340.414276</c:v>
                </c:pt>
                <c:pt idx="32">
                  <c:v>354.135376</c:v>
                </c:pt>
                <c:pt idx="33">
                  <c:v>368.409515</c:v>
                </c:pt>
                <c:pt idx="34">
                  <c:v>383.259003</c:v>
                </c:pt>
                <c:pt idx="35">
                  <c:v>398.707031</c:v>
                </c:pt>
                <c:pt idx="36">
                  <c:v>414.77774</c:v>
                </c:pt>
                <c:pt idx="37">
                  <c:v>431.496216</c:v>
                </c:pt>
                <c:pt idx="38">
                  <c:v>448.88855</c:v>
                </c:pt>
                <c:pt idx="39">
                  <c:v>466.981934</c:v>
                </c:pt>
                <c:pt idx="40">
                  <c:v>485.804596</c:v>
                </c:pt>
                <c:pt idx="41">
                  <c:v>505.385956</c:v>
                </c:pt>
                <c:pt idx="42">
                  <c:v>525.756531</c:v>
                </c:pt>
                <c:pt idx="43">
                  <c:v>546.948242</c:v>
                </c:pt>
                <c:pt idx="44">
                  <c:v>568.99408</c:v>
                </c:pt>
                <c:pt idx="45">
                  <c:v>591.928528</c:v>
                </c:pt>
                <c:pt idx="46">
                  <c:v>615.787415</c:v>
                </c:pt>
                <c:pt idx="47">
                  <c:v>640.607971</c:v>
                </c:pt>
                <c:pt idx="48">
                  <c:v>666.428955</c:v>
                </c:pt>
                <c:pt idx="49">
                  <c:v>693.29071</c:v>
                </c:pt>
                <c:pt idx="50">
                  <c:v>721.235229</c:v>
                </c:pt>
                <c:pt idx="51">
                  <c:v>750.306091</c:v>
                </c:pt>
                <c:pt idx="52">
                  <c:v>780.548706</c:v>
                </c:pt>
                <c:pt idx="53">
                  <c:v>812.010315</c:v>
                </c:pt>
                <c:pt idx="54">
                  <c:v>844.740051</c:v>
                </c:pt>
                <c:pt idx="55">
                  <c:v>878.789001</c:v>
                </c:pt>
                <c:pt idx="56">
                  <c:v>914.210388</c:v>
                </c:pt>
                <c:pt idx="57">
                  <c:v>951.059509</c:v>
                </c:pt>
                <c:pt idx="58">
                  <c:v>989.393921</c:v>
                </c:pt>
                <c:pt idx="59">
                  <c:v>1029.27344</c:v>
                </c:pt>
                <c:pt idx="60">
                  <c:v>1070.76038</c:v>
                </c:pt>
                <c:pt idx="61">
                  <c:v>1113.91956</c:v>
                </c:pt>
                <c:pt idx="62">
                  <c:v>1158.81836</c:v>
                </c:pt>
                <c:pt idx="63">
                  <c:v>1205.52686</c:v>
                </c:pt>
                <c:pt idx="64">
                  <c:v>1254.11804</c:v>
                </c:pt>
                <c:pt idx="65">
                  <c:v>1304.66785</c:v>
                </c:pt>
                <c:pt idx="66">
                  <c:v>1357.25513</c:v>
                </c:pt>
                <c:pt idx="67">
                  <c:v>1411.96204</c:v>
                </c:pt>
                <c:pt idx="68">
                  <c:v>1468.87402</c:v>
                </c:pt>
                <c:pt idx="69">
                  <c:v>1528.07996</c:v>
                </c:pt>
                <c:pt idx="70">
                  <c:v>1589.67236</c:v>
                </c:pt>
                <c:pt idx="71">
                  <c:v>1653.74731</c:v>
                </c:pt>
                <c:pt idx="72">
                  <c:v>1720.40503</c:v>
                </c:pt>
                <c:pt idx="73">
                  <c:v>1789.74951</c:v>
                </c:pt>
                <c:pt idx="74">
                  <c:v>1861.88904</c:v>
                </c:pt>
                <c:pt idx="75">
                  <c:v>1936.93628</c:v>
                </c:pt>
                <c:pt idx="76">
                  <c:v>2015.00842</c:v>
                </c:pt>
                <c:pt idx="77">
                  <c:v>2096.22729</c:v>
                </c:pt>
                <c:pt idx="78">
                  <c:v>2180.71997</c:v>
                </c:pt>
                <c:pt idx="79">
                  <c:v>2268.61841</c:v>
                </c:pt>
                <c:pt idx="80">
                  <c:v>2360.05981</c:v>
                </c:pt>
                <c:pt idx="81">
                  <c:v>2455.18677</c:v>
                </c:pt>
                <c:pt idx="82">
                  <c:v>2554.14819</c:v>
                </c:pt>
                <c:pt idx="83">
                  <c:v>2657.09839</c:v>
                </c:pt>
                <c:pt idx="84">
                  <c:v>2764.19824</c:v>
                </c:pt>
                <c:pt idx="85">
                  <c:v>2875.61499</c:v>
                </c:pt>
                <c:pt idx="86">
                  <c:v>2991.52246</c:v>
                </c:pt>
                <c:pt idx="87">
                  <c:v>3112.10181</c:v>
                </c:pt>
                <c:pt idx="88">
                  <c:v>3237.5415</c:v>
                </c:pt>
                <c:pt idx="89">
                  <c:v>3368.03735</c:v>
                </c:pt>
                <c:pt idx="90">
                  <c:v>3503.79297</c:v>
                </c:pt>
                <c:pt idx="91">
                  <c:v>3645.02051</c:v>
                </c:pt>
                <c:pt idx="92">
                  <c:v>3791.94043</c:v>
                </c:pt>
                <c:pt idx="93">
                  <c:v>3944.78223</c:v>
                </c:pt>
                <c:pt idx="94">
                  <c:v>4103.78467</c:v>
                </c:pt>
                <c:pt idx="95">
                  <c:v>4269.19629</c:v>
                </c:pt>
                <c:pt idx="96">
                  <c:v>4441.2749</c:v>
                </c:pt>
                <c:pt idx="97">
                  <c:v>4620.28955</c:v>
                </c:pt>
                <c:pt idx="98">
                  <c:v>4806.51953</c:v>
                </c:pt>
                <c:pt idx="99">
                  <c:v>5000.25635</c:v>
                </c:pt>
              </c:numCache>
            </c:numRef>
          </c:xVal>
          <c:yVal>
            <c:numRef>
              <c:f>数据!$J$2:$J$101</c:f>
              <c:numCache>
                <c:formatCode>0.000</c:formatCode>
                <c:ptCount val="100"/>
                <c:pt idx="0">
                  <c:v>1.70926527688669</c:v>
                </c:pt>
                <c:pt idx="1">
                  <c:v>1.70558676676996</c:v>
                </c:pt>
                <c:pt idx="2">
                  <c:v>1.70748013048342</c:v>
                </c:pt>
                <c:pt idx="3">
                  <c:v>1.69584156283729</c:v>
                </c:pt>
                <c:pt idx="4">
                  <c:v>1.71244984330607</c:v>
                </c:pt>
                <c:pt idx="5">
                  <c:v>1.68412405228141</c:v>
                </c:pt>
                <c:pt idx="6">
                  <c:v>1.67370013493243</c:v>
                </c:pt>
                <c:pt idx="7">
                  <c:v>1.69747475059688</c:v>
                </c:pt>
                <c:pt idx="8">
                  <c:v>1.65603718352794</c:v>
                </c:pt>
                <c:pt idx="9">
                  <c:v>1.67240411032898</c:v>
                </c:pt>
                <c:pt idx="10">
                  <c:v>1.67006830813733</c:v>
                </c:pt>
                <c:pt idx="11">
                  <c:v>1.66257995561976</c:v>
                </c:pt>
                <c:pt idx="12">
                  <c:v>1.63971606868716</c:v>
                </c:pt>
                <c:pt idx="13">
                  <c:v>1.64722293488922</c:v>
                </c:pt>
                <c:pt idx="14">
                  <c:v>1.62159394834688</c:v>
                </c:pt>
                <c:pt idx="15">
                  <c:v>1.61797488559633</c:v>
                </c:pt>
                <c:pt idx="16">
                  <c:v>1.59499972459569</c:v>
                </c:pt>
                <c:pt idx="17">
                  <c:v>1.6139331042193</c:v>
                </c:pt>
                <c:pt idx="18">
                  <c:v>1.6154952793397</c:v>
                </c:pt>
                <c:pt idx="19">
                  <c:v>1.64265570356871</c:v>
                </c:pt>
                <c:pt idx="20">
                  <c:v>1.57122385455883</c:v>
                </c:pt>
                <c:pt idx="21">
                  <c:v>1.6092694040153</c:v>
                </c:pt>
                <c:pt idx="22">
                  <c:v>1.57403872758992</c:v>
                </c:pt>
                <c:pt idx="23">
                  <c:v>1.54968501254025</c:v>
                </c:pt>
                <c:pt idx="24">
                  <c:v>1.58087177903674</c:v>
                </c:pt>
                <c:pt idx="25">
                  <c:v>1.58358526608861</c:v>
                </c:pt>
                <c:pt idx="26">
                  <c:v>1.53277176541252</c:v>
                </c:pt>
                <c:pt idx="27">
                  <c:v>1.57793821695418</c:v>
                </c:pt>
                <c:pt idx="28">
                  <c:v>1.5572360785351</c:v>
                </c:pt>
                <c:pt idx="29">
                  <c:v>1.55167581323739</c:v>
                </c:pt>
                <c:pt idx="30">
                  <c:v>1.55475885643574</c:v>
                </c:pt>
                <c:pt idx="31">
                  <c:v>1.54167623405525</c:v>
                </c:pt>
                <c:pt idx="32">
                  <c:v>1.53632517760999</c:v>
                </c:pt>
                <c:pt idx="33">
                  <c:v>1.4904442653663</c:v>
                </c:pt>
                <c:pt idx="34">
                  <c:v>1.48818802364639</c:v>
                </c:pt>
                <c:pt idx="35">
                  <c:v>1.44871788188667</c:v>
                </c:pt>
                <c:pt idx="36">
                  <c:v>1.429440104184</c:v>
                </c:pt>
                <c:pt idx="37">
                  <c:v>1.40278497979497</c:v>
                </c:pt>
                <c:pt idx="38">
                  <c:v>1.39126238394901</c:v>
                </c:pt>
                <c:pt idx="39">
                  <c:v>1.36376306900428</c:v>
                </c:pt>
                <c:pt idx="40">
                  <c:v>1.37328451258318</c:v>
                </c:pt>
                <c:pt idx="41">
                  <c:v>1.35211221887592</c:v>
                </c:pt>
                <c:pt idx="42">
                  <c:v>1.27200650646222</c:v>
                </c:pt>
                <c:pt idx="43">
                  <c:v>1.22869046008381</c:v>
                </c:pt>
                <c:pt idx="44">
                  <c:v>1.20782589800929</c:v>
                </c:pt>
                <c:pt idx="45">
                  <c:v>1.18320372559803</c:v>
                </c:pt>
                <c:pt idx="46">
                  <c:v>1.1125325366088</c:v>
                </c:pt>
                <c:pt idx="47">
                  <c:v>1.08912627236528</c:v>
                </c:pt>
                <c:pt idx="48">
                  <c:v>1.03532467543693</c:v>
                </c:pt>
                <c:pt idx="49">
                  <c:v>1.06273808453641</c:v>
                </c:pt>
                <c:pt idx="50">
                  <c:v>0.937579513750877</c:v>
                </c:pt>
                <c:pt idx="51">
                  <c:v>0.893256250174079</c:v>
                </c:pt>
                <c:pt idx="52">
                  <c:v>0.826124923433166</c:v>
                </c:pt>
                <c:pt idx="53">
                  <c:v>0.733556138058449</c:v>
                </c:pt>
                <c:pt idx="54">
                  <c:v>0.702887175040912</c:v>
                </c:pt>
                <c:pt idx="55">
                  <c:v>0.627578067705838</c:v>
                </c:pt>
                <c:pt idx="56">
                  <c:v>0.52607460012147</c:v>
                </c:pt>
                <c:pt idx="57">
                  <c:v>0.453658357271175</c:v>
                </c:pt>
                <c:pt idx="58">
                  <c:v>0.364339521891733</c:v>
                </c:pt>
                <c:pt idx="59">
                  <c:v>0.262117342274191</c:v>
                </c:pt>
                <c:pt idx="60">
                  <c:v>0.169806542843894</c:v>
                </c:pt>
                <c:pt idx="61">
                  <c:v>0.076562457990528</c:v>
                </c:pt>
                <c:pt idx="62">
                  <c:v>-0.0292514149645155</c:v>
                </c:pt>
                <c:pt idx="63">
                  <c:v>-0.140470992776493</c:v>
                </c:pt>
                <c:pt idx="64">
                  <c:v>-0.269522564475308</c:v>
                </c:pt>
                <c:pt idx="65">
                  <c:v>-0.389340603099046</c:v>
                </c:pt>
                <c:pt idx="66">
                  <c:v>-0.508654476116437</c:v>
                </c:pt>
                <c:pt idx="67">
                  <c:v>-0.645834664774007</c:v>
                </c:pt>
                <c:pt idx="68">
                  <c:v>-0.779911861650884</c:v>
                </c:pt>
                <c:pt idx="69">
                  <c:v>-0.88077388851795</c:v>
                </c:pt>
                <c:pt idx="70">
                  <c:v>-1.02775676080883</c:v>
                </c:pt>
                <c:pt idx="71">
                  <c:v>-1.19962247121875</c:v>
                </c:pt>
                <c:pt idx="72">
                  <c:v>-1.32965814652538</c:v>
                </c:pt>
                <c:pt idx="73">
                  <c:v>-1.46790724240865</c:v>
                </c:pt>
                <c:pt idx="74">
                  <c:v>-1.62040256116692</c:v>
                </c:pt>
                <c:pt idx="75">
                  <c:v>-1.733540894696</c:v>
                </c:pt>
                <c:pt idx="76">
                  <c:v>-1.86983335794522</c:v>
                </c:pt>
                <c:pt idx="77">
                  <c:v>-2.02933135459675</c:v>
                </c:pt>
                <c:pt idx="78">
                  <c:v>-2.16383196950607</c:v>
                </c:pt>
                <c:pt idx="79">
                  <c:v>-2.33172372356195</c:v>
                </c:pt>
                <c:pt idx="80">
                  <c:v>-2.47735915209296</c:v>
                </c:pt>
                <c:pt idx="81">
                  <c:v>-2.65328320131327</c:v>
                </c:pt>
                <c:pt idx="82">
                  <c:v>-2.76965259498584</c:v>
                </c:pt>
                <c:pt idx="83">
                  <c:v>-2.8863800594206</c:v>
                </c:pt>
                <c:pt idx="84">
                  <c:v>-2.93749858642673</c:v>
                </c:pt>
                <c:pt idx="85">
                  <c:v>-3.04939791908432</c:v>
                </c:pt>
                <c:pt idx="86">
                  <c:v>-3.23682273493857</c:v>
                </c:pt>
                <c:pt idx="87">
                  <c:v>-3.38890966988169</c:v>
                </c:pt>
                <c:pt idx="88">
                  <c:v>-3.58104532223976</c:v>
                </c:pt>
                <c:pt idx="89">
                  <c:v>-3.39383472643053</c:v>
                </c:pt>
                <c:pt idx="90">
                  <c:v>-3.73730337808808</c:v>
                </c:pt>
                <c:pt idx="91">
                  <c:v>-3.61365187452995</c:v>
                </c:pt>
                <c:pt idx="92">
                  <c:v>-3.52228357975668</c:v>
                </c:pt>
                <c:pt idx="93">
                  <c:v>-3.94257538902662</c:v>
                </c:pt>
                <c:pt idx="94">
                  <c:v>-3.67465011411722</c:v>
                </c:pt>
                <c:pt idx="95">
                  <c:v>-3.51648276725367</c:v>
                </c:pt>
                <c:pt idx="96">
                  <c:v>-3.70889019223569</c:v>
                </c:pt>
                <c:pt idx="97">
                  <c:v>-3.54777118864446</c:v>
                </c:pt>
                <c:pt idx="98">
                  <c:v>-3.71114517046701</c:v>
                </c:pt>
                <c:pt idx="99">
                  <c:v>-4.16660323240415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"Plant (受控体)"</c:f>
              <c:strCache>
                <c:ptCount val="1"/>
                <c:pt idx="0">
                  <c:v>Plant (受控体)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数据!$A$2:$A$101</c:f>
              <c:numCache>
                <c:formatCode>General</c:formatCode>
                <c:ptCount val="100"/>
                <c:pt idx="0">
                  <c:v>100</c:v>
                </c:pt>
                <c:pt idx="1">
                  <c:v>104.030708</c:v>
                </c:pt>
                <c:pt idx="2">
                  <c:v>108.223877</c:v>
                </c:pt>
                <c:pt idx="3">
                  <c:v>112.58606</c:v>
                </c:pt>
                <c:pt idx="4">
                  <c:v>117.124069</c:v>
                </c:pt>
                <c:pt idx="5">
                  <c:v>121.844994</c:v>
                </c:pt>
                <c:pt idx="6">
                  <c:v>126.756203</c:v>
                </c:pt>
                <c:pt idx="7">
                  <c:v>131.865372</c:v>
                </c:pt>
                <c:pt idx="8">
                  <c:v>137.180481</c:v>
                </c:pt>
                <c:pt idx="9">
                  <c:v>142.709824</c:v>
                </c:pt>
                <c:pt idx="10">
                  <c:v>148.462036</c:v>
                </c:pt>
                <c:pt idx="11">
                  <c:v>154.446106</c:v>
                </c:pt>
                <c:pt idx="12">
                  <c:v>160.671371</c:v>
                </c:pt>
                <c:pt idx="13">
                  <c:v>167.147552</c:v>
                </c:pt>
                <c:pt idx="14">
                  <c:v>173.884781</c:v>
                </c:pt>
                <c:pt idx="15">
                  <c:v>180.89357</c:v>
                </c:pt>
                <c:pt idx="16">
                  <c:v>188.18486</c:v>
                </c:pt>
                <c:pt idx="17">
                  <c:v>195.770035</c:v>
                </c:pt>
                <c:pt idx="18">
                  <c:v>203.66095</c:v>
                </c:pt>
                <c:pt idx="19">
                  <c:v>211.869919</c:v>
                </c:pt>
                <c:pt idx="20">
                  <c:v>220.409775</c:v>
                </c:pt>
                <c:pt idx="21">
                  <c:v>229.293839</c:v>
                </c:pt>
                <c:pt idx="22">
                  <c:v>238.535995</c:v>
                </c:pt>
                <c:pt idx="23">
                  <c:v>248.150681</c:v>
                </c:pt>
                <c:pt idx="24">
                  <c:v>258.152893</c:v>
                </c:pt>
                <c:pt idx="25">
                  <c:v>268.558289</c:v>
                </c:pt>
                <c:pt idx="26">
                  <c:v>279.383087</c:v>
                </c:pt>
                <c:pt idx="27">
                  <c:v>290.644196</c:v>
                </c:pt>
                <c:pt idx="28">
                  <c:v>302.359192</c:v>
                </c:pt>
                <c:pt idx="29">
                  <c:v>314.546387</c:v>
                </c:pt>
                <c:pt idx="30">
                  <c:v>327.224823</c:v>
                </c:pt>
                <c:pt idx="31">
                  <c:v>340.414276</c:v>
                </c:pt>
                <c:pt idx="32">
                  <c:v>354.135376</c:v>
                </c:pt>
                <c:pt idx="33">
                  <c:v>368.409515</c:v>
                </c:pt>
                <c:pt idx="34">
                  <c:v>383.259003</c:v>
                </c:pt>
                <c:pt idx="35">
                  <c:v>398.707031</c:v>
                </c:pt>
                <c:pt idx="36">
                  <c:v>414.77774</c:v>
                </c:pt>
                <c:pt idx="37">
                  <c:v>431.496216</c:v>
                </c:pt>
                <c:pt idx="38">
                  <c:v>448.88855</c:v>
                </c:pt>
                <c:pt idx="39">
                  <c:v>466.981934</c:v>
                </c:pt>
                <c:pt idx="40">
                  <c:v>485.804596</c:v>
                </c:pt>
                <c:pt idx="41">
                  <c:v>505.385956</c:v>
                </c:pt>
                <c:pt idx="42">
                  <c:v>525.756531</c:v>
                </c:pt>
                <c:pt idx="43">
                  <c:v>546.948242</c:v>
                </c:pt>
                <c:pt idx="44">
                  <c:v>568.99408</c:v>
                </c:pt>
                <c:pt idx="45">
                  <c:v>591.928528</c:v>
                </c:pt>
                <c:pt idx="46">
                  <c:v>615.787415</c:v>
                </c:pt>
                <c:pt idx="47">
                  <c:v>640.607971</c:v>
                </c:pt>
                <c:pt idx="48">
                  <c:v>666.428955</c:v>
                </c:pt>
                <c:pt idx="49">
                  <c:v>693.29071</c:v>
                </c:pt>
                <c:pt idx="50">
                  <c:v>721.235229</c:v>
                </c:pt>
                <c:pt idx="51">
                  <c:v>750.306091</c:v>
                </c:pt>
                <c:pt idx="52">
                  <c:v>780.548706</c:v>
                </c:pt>
                <c:pt idx="53">
                  <c:v>812.010315</c:v>
                </c:pt>
                <c:pt idx="54">
                  <c:v>844.740051</c:v>
                </c:pt>
                <c:pt idx="55">
                  <c:v>878.789001</c:v>
                </c:pt>
                <c:pt idx="56">
                  <c:v>914.210388</c:v>
                </c:pt>
                <c:pt idx="57">
                  <c:v>951.059509</c:v>
                </c:pt>
                <c:pt idx="58">
                  <c:v>989.393921</c:v>
                </c:pt>
                <c:pt idx="59">
                  <c:v>1029.27344</c:v>
                </c:pt>
                <c:pt idx="60">
                  <c:v>1070.76038</c:v>
                </c:pt>
                <c:pt idx="61">
                  <c:v>1113.91956</c:v>
                </c:pt>
                <c:pt idx="62">
                  <c:v>1158.81836</c:v>
                </c:pt>
                <c:pt idx="63">
                  <c:v>1205.52686</c:v>
                </c:pt>
                <c:pt idx="64">
                  <c:v>1254.11804</c:v>
                </c:pt>
                <c:pt idx="65">
                  <c:v>1304.66785</c:v>
                </c:pt>
                <c:pt idx="66">
                  <c:v>1357.25513</c:v>
                </c:pt>
                <c:pt idx="67">
                  <c:v>1411.96204</c:v>
                </c:pt>
                <c:pt idx="68">
                  <c:v>1468.87402</c:v>
                </c:pt>
                <c:pt idx="69">
                  <c:v>1528.07996</c:v>
                </c:pt>
                <c:pt idx="70">
                  <c:v>1589.67236</c:v>
                </c:pt>
                <c:pt idx="71">
                  <c:v>1653.74731</c:v>
                </c:pt>
                <c:pt idx="72">
                  <c:v>1720.40503</c:v>
                </c:pt>
                <c:pt idx="73">
                  <c:v>1789.74951</c:v>
                </c:pt>
                <c:pt idx="74">
                  <c:v>1861.88904</c:v>
                </c:pt>
                <c:pt idx="75">
                  <c:v>1936.93628</c:v>
                </c:pt>
                <c:pt idx="76">
                  <c:v>2015.00842</c:v>
                </c:pt>
                <c:pt idx="77">
                  <c:v>2096.22729</c:v>
                </c:pt>
                <c:pt idx="78">
                  <c:v>2180.71997</c:v>
                </c:pt>
                <c:pt idx="79">
                  <c:v>2268.61841</c:v>
                </c:pt>
                <c:pt idx="80">
                  <c:v>2360.05981</c:v>
                </c:pt>
                <c:pt idx="81">
                  <c:v>2455.18677</c:v>
                </c:pt>
                <c:pt idx="82">
                  <c:v>2554.14819</c:v>
                </c:pt>
                <c:pt idx="83">
                  <c:v>2657.09839</c:v>
                </c:pt>
                <c:pt idx="84">
                  <c:v>2764.19824</c:v>
                </c:pt>
                <c:pt idx="85">
                  <c:v>2875.61499</c:v>
                </c:pt>
                <c:pt idx="86">
                  <c:v>2991.52246</c:v>
                </c:pt>
                <c:pt idx="87">
                  <c:v>3112.10181</c:v>
                </c:pt>
                <c:pt idx="88">
                  <c:v>3237.5415</c:v>
                </c:pt>
                <c:pt idx="89">
                  <c:v>3368.03735</c:v>
                </c:pt>
                <c:pt idx="90">
                  <c:v>3503.79297</c:v>
                </c:pt>
                <c:pt idx="91">
                  <c:v>3645.02051</c:v>
                </c:pt>
                <c:pt idx="92">
                  <c:v>3791.94043</c:v>
                </c:pt>
                <c:pt idx="93">
                  <c:v>3944.78223</c:v>
                </c:pt>
                <c:pt idx="94">
                  <c:v>4103.78467</c:v>
                </c:pt>
                <c:pt idx="95">
                  <c:v>4269.19629</c:v>
                </c:pt>
                <c:pt idx="96">
                  <c:v>4441.2749</c:v>
                </c:pt>
                <c:pt idx="97">
                  <c:v>4620.28955</c:v>
                </c:pt>
                <c:pt idx="98">
                  <c:v>4806.51953</c:v>
                </c:pt>
                <c:pt idx="99">
                  <c:v>5000.25635</c:v>
                </c:pt>
              </c:numCache>
            </c:numRef>
          </c:xVal>
          <c:yVal>
            <c:numRef>
              <c:f>数据!$L$2:$L$101</c:f>
              <c:numCache>
                <c:formatCode>0.000</c:formatCode>
                <c:ptCount val="100"/>
                <c:pt idx="0">
                  <c:v>14.9019074888008</c:v>
                </c:pt>
                <c:pt idx="1">
                  <c:v>14.8943837638403</c:v>
                </c:pt>
                <c:pt idx="2">
                  <c:v>14.8781191685694</c:v>
                </c:pt>
                <c:pt idx="3">
                  <c:v>14.9131419778763</c:v>
                </c:pt>
                <c:pt idx="4">
                  <c:v>14.8470323628373</c:v>
                </c:pt>
                <c:pt idx="5">
                  <c:v>14.9739189741564</c:v>
                </c:pt>
                <c:pt idx="6">
                  <c:v>15.0285585333699</c:v>
                </c:pt>
                <c:pt idx="7">
                  <c:v>14.9249680367297</c:v>
                </c:pt>
                <c:pt idx="8">
                  <c:v>15.0830086190748</c:v>
                </c:pt>
                <c:pt idx="9">
                  <c:v>14.9982402919696</c:v>
                </c:pt>
                <c:pt idx="10">
                  <c:v>14.9928527319655</c:v>
                </c:pt>
                <c:pt idx="11">
                  <c:v>15.0342687983932</c:v>
                </c:pt>
                <c:pt idx="12">
                  <c:v>15.1003483929059</c:v>
                </c:pt>
                <c:pt idx="13">
                  <c:v>15.0717987405533</c:v>
                </c:pt>
                <c:pt idx="14">
                  <c:v>15.1637234649484</c:v>
                </c:pt>
                <c:pt idx="15">
                  <c:v>15.1577240311041</c:v>
                </c:pt>
                <c:pt idx="16">
                  <c:v>15.2353500663926</c:v>
                </c:pt>
                <c:pt idx="17">
                  <c:v>15.1540789782427</c:v>
                </c:pt>
                <c:pt idx="18">
                  <c:v>15.1235671787538</c:v>
                </c:pt>
                <c:pt idx="19">
                  <c:v>14.9919599027875</c:v>
                </c:pt>
                <c:pt idx="20">
                  <c:v>15.2531849141291</c:v>
                </c:pt>
                <c:pt idx="21">
                  <c:v>15.0615399118278</c:v>
                </c:pt>
                <c:pt idx="22">
                  <c:v>15.2375671699727</c:v>
                </c:pt>
                <c:pt idx="23">
                  <c:v>15.3248162381262</c:v>
                </c:pt>
                <c:pt idx="24">
                  <c:v>15.1672823014977</c:v>
                </c:pt>
                <c:pt idx="25">
                  <c:v>15.0925879516355</c:v>
                </c:pt>
                <c:pt idx="26">
                  <c:v>15.2644459597485</c:v>
                </c:pt>
                <c:pt idx="27">
                  <c:v>15.0192071378526</c:v>
                </c:pt>
                <c:pt idx="28">
                  <c:v>15.0699619086132</c:v>
                </c:pt>
                <c:pt idx="29">
                  <c:v>15.0804233718311</c:v>
                </c:pt>
                <c:pt idx="30">
                  <c:v>14.9940441347561</c:v>
                </c:pt>
                <c:pt idx="31">
                  <c:v>15.0240523326881</c:v>
                </c:pt>
                <c:pt idx="32">
                  <c:v>14.9679200262428</c:v>
                </c:pt>
                <c:pt idx="33">
                  <c:v>15.1130181179054</c:v>
                </c:pt>
                <c:pt idx="34">
                  <c:v>15.106260533412</c:v>
                </c:pt>
                <c:pt idx="35">
                  <c:v>15.1728389756367</c:v>
                </c:pt>
                <c:pt idx="36">
                  <c:v>15.2045713297699</c:v>
                </c:pt>
                <c:pt idx="37">
                  <c:v>15.2252337102637</c:v>
                </c:pt>
                <c:pt idx="38">
                  <c:v>15.178860040199</c:v>
                </c:pt>
                <c:pt idx="39">
                  <c:v>15.2556545484965</c:v>
                </c:pt>
                <c:pt idx="40">
                  <c:v>15.0817500887551</c:v>
                </c:pt>
                <c:pt idx="41">
                  <c:v>15.1567997188759</c:v>
                </c:pt>
                <c:pt idx="42">
                  <c:v>15.2780184693528</c:v>
                </c:pt>
                <c:pt idx="43">
                  <c:v>15.3633950499276</c:v>
                </c:pt>
                <c:pt idx="44">
                  <c:v>15.300523041564</c:v>
                </c:pt>
                <c:pt idx="45">
                  <c:v>15.3287725732543</c:v>
                </c:pt>
                <c:pt idx="46">
                  <c:v>15.4974660082885</c:v>
                </c:pt>
                <c:pt idx="47">
                  <c:v>15.5216366483418</c:v>
                </c:pt>
                <c:pt idx="48">
                  <c:v>15.433777434226</c:v>
                </c:pt>
                <c:pt idx="49">
                  <c:v>15.1816803452786</c:v>
                </c:pt>
                <c:pt idx="50">
                  <c:v>15.4024385225399</c:v>
                </c:pt>
                <c:pt idx="51">
                  <c:v>15.5432654054475</c:v>
                </c:pt>
                <c:pt idx="52">
                  <c:v>15.4877917935504</c:v>
                </c:pt>
                <c:pt idx="53">
                  <c:v>15.6634725198944</c:v>
                </c:pt>
                <c:pt idx="54">
                  <c:v>15.5208193039472</c:v>
                </c:pt>
                <c:pt idx="55">
                  <c:v>15.6570427893855</c:v>
                </c:pt>
                <c:pt idx="56">
                  <c:v>15.6404850005121</c:v>
                </c:pt>
                <c:pt idx="57">
                  <c:v>15.647460237154</c:v>
                </c:pt>
                <c:pt idx="58">
                  <c:v>15.7557427201339</c:v>
                </c:pt>
                <c:pt idx="59">
                  <c:v>15.8044909995008</c:v>
                </c:pt>
                <c:pt idx="60">
                  <c:v>15.6419287352267</c:v>
                </c:pt>
                <c:pt idx="61">
                  <c:v>15.7338500556468</c:v>
                </c:pt>
                <c:pt idx="62">
                  <c:v>15.6335903819105</c:v>
                </c:pt>
                <c:pt idx="63">
                  <c:v>15.4698805697235</c:v>
                </c:pt>
                <c:pt idx="64">
                  <c:v>15.5291682314231</c:v>
                </c:pt>
                <c:pt idx="65">
                  <c:v>15.3636196019791</c:v>
                </c:pt>
                <c:pt idx="66">
                  <c:v>15.2840853920476</c:v>
                </c:pt>
                <c:pt idx="67">
                  <c:v>14.9811032014369</c:v>
                </c:pt>
                <c:pt idx="68">
                  <c:v>14.6569625279976</c:v>
                </c:pt>
                <c:pt idx="69">
                  <c:v>14.5257507696852</c:v>
                </c:pt>
                <c:pt idx="70">
                  <c:v>14.4107045429021</c:v>
                </c:pt>
                <c:pt idx="71">
                  <c:v>13.7163778949922</c:v>
                </c:pt>
                <c:pt idx="72">
                  <c:v>13.4084857743731</c:v>
                </c:pt>
                <c:pt idx="73">
                  <c:v>13.0345951989976</c:v>
                </c:pt>
                <c:pt idx="74">
                  <c:v>12.4781234398096</c:v>
                </c:pt>
                <c:pt idx="75">
                  <c:v>12.1511942127259</c:v>
                </c:pt>
                <c:pt idx="76">
                  <c:v>11.5571228188126</c:v>
                </c:pt>
                <c:pt idx="77">
                  <c:v>10.9476736502861</c:v>
                </c:pt>
                <c:pt idx="78">
                  <c:v>10.3766038215096</c:v>
                </c:pt>
                <c:pt idx="79">
                  <c:v>9.64914175495367</c:v>
                </c:pt>
                <c:pt idx="80">
                  <c:v>9.00118699048516</c:v>
                </c:pt>
                <c:pt idx="81">
                  <c:v>8.18338672056173</c:v>
                </c:pt>
                <c:pt idx="82">
                  <c:v>7.60513378196729</c:v>
                </c:pt>
                <c:pt idx="83">
                  <c:v>6.88894953042315</c:v>
                </c:pt>
                <c:pt idx="84">
                  <c:v>6.41664264892483</c:v>
                </c:pt>
                <c:pt idx="85">
                  <c:v>5.76224758872818</c:v>
                </c:pt>
                <c:pt idx="86">
                  <c:v>4.85053383244425</c:v>
                </c:pt>
                <c:pt idx="87">
                  <c:v>3.94841637992299</c:v>
                </c:pt>
                <c:pt idx="88">
                  <c:v>3.14051229494774</c:v>
                </c:pt>
                <c:pt idx="89">
                  <c:v>2.71872936048353</c:v>
                </c:pt>
                <c:pt idx="90">
                  <c:v>1.56546151449004</c:v>
                </c:pt>
                <c:pt idx="91">
                  <c:v>1.25837266160286</c:v>
                </c:pt>
                <c:pt idx="92">
                  <c:v>0.895685170243318</c:v>
                </c:pt>
                <c:pt idx="93">
                  <c:v>-0.574029856800061</c:v>
                </c:pt>
                <c:pt idx="94">
                  <c:v>-1.17594711118753</c:v>
                </c:pt>
                <c:pt idx="95">
                  <c:v>-1.13586753287867</c:v>
                </c:pt>
                <c:pt idx="96">
                  <c:v>-2.30044292661069</c:v>
                </c:pt>
                <c:pt idx="97">
                  <c:v>-2.4840352267304</c:v>
                </c:pt>
                <c:pt idx="98">
                  <c:v>-3.46091628863108</c:v>
                </c:pt>
                <c:pt idx="99">
                  <c:v>-4.34299483396665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Magnitude (dB)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Frequency (Hz)</a:t>
                </a:r>
              </a:p>
            </c:rich>
          </c:tx>
          <c:layout/>
          <c:overlay val="0"/>
        </c:title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ae79e6-1237-40a3-9b86-879711d1a6d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相频特性（已做 ZOH 校正）</a:t>
            </a:r>
          </a:p>
        </c:rich>
      </c:tx>
      <c:layout/>
      <c:overlay val="0"/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"OL (开环增益)"</c:f>
              <c:strCache>
                <c:ptCount val="1"/>
                <c:pt idx="0">
                  <c:v>OL (开环增益)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数据!$A$2:$A$101</c:f>
              <c:numCache>
                <c:formatCode>General</c:formatCode>
                <c:ptCount val="100"/>
                <c:pt idx="0">
                  <c:v>100</c:v>
                </c:pt>
                <c:pt idx="1">
                  <c:v>104.030708</c:v>
                </c:pt>
                <c:pt idx="2">
                  <c:v>108.223877</c:v>
                </c:pt>
                <c:pt idx="3">
                  <c:v>112.58606</c:v>
                </c:pt>
                <c:pt idx="4">
                  <c:v>117.124069</c:v>
                </c:pt>
                <c:pt idx="5">
                  <c:v>121.844994</c:v>
                </c:pt>
                <c:pt idx="6">
                  <c:v>126.756203</c:v>
                </c:pt>
                <c:pt idx="7">
                  <c:v>131.865372</c:v>
                </c:pt>
                <c:pt idx="8">
                  <c:v>137.180481</c:v>
                </c:pt>
                <c:pt idx="9">
                  <c:v>142.709824</c:v>
                </c:pt>
                <c:pt idx="10">
                  <c:v>148.462036</c:v>
                </c:pt>
                <c:pt idx="11">
                  <c:v>154.446106</c:v>
                </c:pt>
                <c:pt idx="12">
                  <c:v>160.671371</c:v>
                </c:pt>
                <c:pt idx="13">
                  <c:v>167.147552</c:v>
                </c:pt>
                <c:pt idx="14">
                  <c:v>173.884781</c:v>
                </c:pt>
                <c:pt idx="15">
                  <c:v>180.89357</c:v>
                </c:pt>
                <c:pt idx="16">
                  <c:v>188.18486</c:v>
                </c:pt>
                <c:pt idx="17">
                  <c:v>195.770035</c:v>
                </c:pt>
                <c:pt idx="18">
                  <c:v>203.66095</c:v>
                </c:pt>
                <c:pt idx="19">
                  <c:v>211.869919</c:v>
                </c:pt>
                <c:pt idx="20">
                  <c:v>220.409775</c:v>
                </c:pt>
                <c:pt idx="21">
                  <c:v>229.293839</c:v>
                </c:pt>
                <c:pt idx="22">
                  <c:v>238.535995</c:v>
                </c:pt>
                <c:pt idx="23">
                  <c:v>248.150681</c:v>
                </c:pt>
                <c:pt idx="24">
                  <c:v>258.152893</c:v>
                </c:pt>
                <c:pt idx="25">
                  <c:v>268.558289</c:v>
                </c:pt>
                <c:pt idx="26">
                  <c:v>279.383087</c:v>
                </c:pt>
                <c:pt idx="27">
                  <c:v>290.644196</c:v>
                </c:pt>
                <c:pt idx="28">
                  <c:v>302.359192</c:v>
                </c:pt>
                <c:pt idx="29">
                  <c:v>314.546387</c:v>
                </c:pt>
                <c:pt idx="30">
                  <c:v>327.224823</c:v>
                </c:pt>
                <c:pt idx="31">
                  <c:v>340.414276</c:v>
                </c:pt>
                <c:pt idx="32">
                  <c:v>354.135376</c:v>
                </c:pt>
                <c:pt idx="33">
                  <c:v>368.409515</c:v>
                </c:pt>
                <c:pt idx="34">
                  <c:v>383.259003</c:v>
                </c:pt>
                <c:pt idx="35">
                  <c:v>398.707031</c:v>
                </c:pt>
                <c:pt idx="36">
                  <c:v>414.77774</c:v>
                </c:pt>
                <c:pt idx="37">
                  <c:v>431.496216</c:v>
                </c:pt>
                <c:pt idx="38">
                  <c:v>448.88855</c:v>
                </c:pt>
                <c:pt idx="39">
                  <c:v>466.981934</c:v>
                </c:pt>
                <c:pt idx="40">
                  <c:v>485.804596</c:v>
                </c:pt>
                <c:pt idx="41">
                  <c:v>505.385956</c:v>
                </c:pt>
                <c:pt idx="42">
                  <c:v>525.756531</c:v>
                </c:pt>
                <c:pt idx="43">
                  <c:v>546.948242</c:v>
                </c:pt>
                <c:pt idx="44">
                  <c:v>568.99408</c:v>
                </c:pt>
                <c:pt idx="45">
                  <c:v>591.928528</c:v>
                </c:pt>
                <c:pt idx="46">
                  <c:v>615.787415</c:v>
                </c:pt>
                <c:pt idx="47">
                  <c:v>640.607971</c:v>
                </c:pt>
                <c:pt idx="48">
                  <c:v>666.428955</c:v>
                </c:pt>
                <c:pt idx="49">
                  <c:v>693.29071</c:v>
                </c:pt>
                <c:pt idx="50">
                  <c:v>721.235229</c:v>
                </c:pt>
                <c:pt idx="51">
                  <c:v>750.306091</c:v>
                </c:pt>
                <c:pt idx="52">
                  <c:v>780.548706</c:v>
                </c:pt>
                <c:pt idx="53">
                  <c:v>812.010315</c:v>
                </c:pt>
                <c:pt idx="54">
                  <c:v>844.740051</c:v>
                </c:pt>
                <c:pt idx="55">
                  <c:v>878.789001</c:v>
                </c:pt>
                <c:pt idx="56">
                  <c:v>914.210388</c:v>
                </c:pt>
                <c:pt idx="57">
                  <c:v>951.059509</c:v>
                </c:pt>
                <c:pt idx="58">
                  <c:v>989.393921</c:v>
                </c:pt>
                <c:pt idx="59">
                  <c:v>1029.27344</c:v>
                </c:pt>
                <c:pt idx="60">
                  <c:v>1070.76038</c:v>
                </c:pt>
                <c:pt idx="61">
                  <c:v>1113.91956</c:v>
                </c:pt>
                <c:pt idx="62">
                  <c:v>1158.81836</c:v>
                </c:pt>
                <c:pt idx="63">
                  <c:v>1205.52686</c:v>
                </c:pt>
                <c:pt idx="64">
                  <c:v>1254.11804</c:v>
                </c:pt>
                <c:pt idx="65">
                  <c:v>1304.66785</c:v>
                </c:pt>
                <c:pt idx="66">
                  <c:v>1357.25513</c:v>
                </c:pt>
                <c:pt idx="67">
                  <c:v>1411.96204</c:v>
                </c:pt>
                <c:pt idx="68">
                  <c:v>1468.87402</c:v>
                </c:pt>
                <c:pt idx="69">
                  <c:v>1528.07996</c:v>
                </c:pt>
                <c:pt idx="70">
                  <c:v>1589.67236</c:v>
                </c:pt>
                <c:pt idx="71">
                  <c:v>1653.74731</c:v>
                </c:pt>
                <c:pt idx="72">
                  <c:v>1720.40503</c:v>
                </c:pt>
                <c:pt idx="73">
                  <c:v>1789.74951</c:v>
                </c:pt>
                <c:pt idx="74">
                  <c:v>1861.88904</c:v>
                </c:pt>
                <c:pt idx="75">
                  <c:v>1936.93628</c:v>
                </c:pt>
                <c:pt idx="76">
                  <c:v>2015.00842</c:v>
                </c:pt>
                <c:pt idx="77">
                  <c:v>2096.22729</c:v>
                </c:pt>
                <c:pt idx="78">
                  <c:v>2180.71997</c:v>
                </c:pt>
                <c:pt idx="79">
                  <c:v>2268.61841</c:v>
                </c:pt>
                <c:pt idx="80">
                  <c:v>2360.05981</c:v>
                </c:pt>
                <c:pt idx="81">
                  <c:v>2455.18677</c:v>
                </c:pt>
                <c:pt idx="82">
                  <c:v>2554.14819</c:v>
                </c:pt>
                <c:pt idx="83">
                  <c:v>2657.09839</c:v>
                </c:pt>
                <c:pt idx="84">
                  <c:v>2764.19824</c:v>
                </c:pt>
                <c:pt idx="85">
                  <c:v>2875.61499</c:v>
                </c:pt>
                <c:pt idx="86">
                  <c:v>2991.52246</c:v>
                </c:pt>
                <c:pt idx="87">
                  <c:v>3112.10181</c:v>
                </c:pt>
                <c:pt idx="88">
                  <c:v>3237.5415</c:v>
                </c:pt>
                <c:pt idx="89">
                  <c:v>3368.03735</c:v>
                </c:pt>
                <c:pt idx="90">
                  <c:v>3503.79297</c:v>
                </c:pt>
                <c:pt idx="91">
                  <c:v>3645.02051</c:v>
                </c:pt>
                <c:pt idx="92">
                  <c:v>3791.94043</c:v>
                </c:pt>
                <c:pt idx="93">
                  <c:v>3944.78223</c:v>
                </c:pt>
                <c:pt idx="94">
                  <c:v>4103.78467</c:v>
                </c:pt>
                <c:pt idx="95">
                  <c:v>4269.19629</c:v>
                </c:pt>
                <c:pt idx="96">
                  <c:v>4441.2749</c:v>
                </c:pt>
                <c:pt idx="97">
                  <c:v>4620.28955</c:v>
                </c:pt>
                <c:pt idx="98">
                  <c:v>4806.51953</c:v>
                </c:pt>
                <c:pt idx="99">
                  <c:v>5000.25635</c:v>
                </c:pt>
              </c:numCache>
            </c:numRef>
          </c:xVal>
          <c:yVal>
            <c:numRef>
              <c:f>数据!$K$2:$K$101</c:f>
              <c:numCache>
                <c:formatCode>0.000</c:formatCode>
                <c:ptCount val="100"/>
                <c:pt idx="0">
                  <c:v>-177.769006347656</c:v>
                </c:pt>
                <c:pt idx="1">
                  <c:v>-177.484438960031</c:v>
                </c:pt>
                <c:pt idx="2">
                  <c:v>-177.377623900945</c:v>
                </c:pt>
                <c:pt idx="3">
                  <c:v>-177.181000362344</c:v>
                </c:pt>
                <c:pt idx="4">
                  <c:v>-177.211844072359</c:v>
                </c:pt>
                <c:pt idx="5">
                  <c:v>-177.157118198531</c:v>
                </c:pt>
                <c:pt idx="6">
                  <c:v>-177.168001546047</c:v>
                </c:pt>
                <c:pt idx="7">
                  <c:v>-177.166605206688</c:v>
                </c:pt>
                <c:pt idx="8">
                  <c:v>-176.859110412211</c:v>
                </c:pt>
                <c:pt idx="9">
                  <c:v>-176.733281261734</c:v>
                </c:pt>
                <c:pt idx="10">
                  <c:v>-176.568733643773</c:v>
                </c:pt>
                <c:pt idx="11">
                  <c:v>-176.56034820518</c:v>
                </c:pt>
                <c:pt idx="12">
                  <c:v>-176.251650532094</c:v>
                </c:pt>
                <c:pt idx="13">
                  <c:v>-176.229207798602</c:v>
                </c:pt>
                <c:pt idx="14">
                  <c:v>-176.007714583305</c:v>
                </c:pt>
                <c:pt idx="15">
                  <c:v>-175.820489974492</c:v>
                </c:pt>
                <c:pt idx="16">
                  <c:v>-175.600128984609</c:v>
                </c:pt>
                <c:pt idx="17">
                  <c:v>-175.559831769961</c:v>
                </c:pt>
                <c:pt idx="18">
                  <c:v>-175.363798276172</c:v>
                </c:pt>
                <c:pt idx="19">
                  <c:v>-175.242706861813</c:v>
                </c:pt>
                <c:pt idx="20">
                  <c:v>-174.8747104625</c:v>
                </c:pt>
                <c:pt idx="21">
                  <c:v>-174.705581523219</c:v>
                </c:pt>
                <c:pt idx="22">
                  <c:v>-174.693218159258</c:v>
                </c:pt>
                <c:pt idx="23">
                  <c:v>-174.500027049711</c:v>
                </c:pt>
                <c:pt idx="24">
                  <c:v>-174.341815613391</c:v>
                </c:pt>
                <c:pt idx="25">
                  <c:v>-173.993757259352</c:v>
                </c:pt>
                <c:pt idx="26">
                  <c:v>-173.688249970906</c:v>
                </c:pt>
                <c:pt idx="27">
                  <c:v>-173.418168300453</c:v>
                </c:pt>
                <c:pt idx="28">
                  <c:v>-173.171986266141</c:v>
                </c:pt>
                <c:pt idx="29">
                  <c:v>-173.009841794344</c:v>
                </c:pt>
                <c:pt idx="30">
                  <c:v>-172.646575103742</c:v>
                </c:pt>
                <c:pt idx="31">
                  <c:v>-172.444816437875</c:v>
                </c:pt>
                <c:pt idx="32">
                  <c:v>-172.069526000766</c:v>
                </c:pt>
                <c:pt idx="33">
                  <c:v>-171.800311679453</c:v>
                </c:pt>
                <c:pt idx="34">
                  <c:v>-171.615961331398</c:v>
                </c:pt>
                <c:pt idx="35">
                  <c:v>-171.205032717094</c:v>
                </c:pt>
                <c:pt idx="36">
                  <c:v>-170.931001804844</c:v>
                </c:pt>
                <c:pt idx="37">
                  <c:v>-170.555849851898</c:v>
                </c:pt>
                <c:pt idx="38">
                  <c:v>-170.172878416211</c:v>
                </c:pt>
                <c:pt idx="39">
                  <c:v>-169.92785412232</c:v>
                </c:pt>
                <c:pt idx="40">
                  <c:v>-169.445477141859</c:v>
                </c:pt>
                <c:pt idx="41">
                  <c:v>-169.248248808109</c:v>
                </c:pt>
                <c:pt idx="42">
                  <c:v>-168.677615049125</c:v>
                </c:pt>
                <c:pt idx="43">
                  <c:v>-168.333905030984</c:v>
                </c:pt>
                <c:pt idx="44">
                  <c:v>-167.87058465207</c:v>
                </c:pt>
                <c:pt idx="45">
                  <c:v>-167.548772398391</c:v>
                </c:pt>
                <c:pt idx="46">
                  <c:v>-167.191540584336</c:v>
                </c:pt>
                <c:pt idx="47">
                  <c:v>-166.866745668227</c:v>
                </c:pt>
                <c:pt idx="48">
                  <c:v>-166.204211548555</c:v>
                </c:pt>
                <c:pt idx="49">
                  <c:v>-165.687065128555</c:v>
                </c:pt>
                <c:pt idx="50">
                  <c:v>-165.207384525914</c:v>
                </c:pt>
                <c:pt idx="51">
                  <c:v>-164.962348330414</c:v>
                </c:pt>
                <c:pt idx="52">
                  <c:v>-164.358820190922</c:v>
                </c:pt>
                <c:pt idx="53">
                  <c:v>-164.01009869332</c:v>
                </c:pt>
                <c:pt idx="54">
                  <c:v>-163.436646181625</c:v>
                </c:pt>
                <c:pt idx="55">
                  <c:v>-163.108339786898</c:v>
                </c:pt>
                <c:pt idx="56">
                  <c:v>-162.55611834882</c:v>
                </c:pt>
                <c:pt idx="57">
                  <c:v>-162.112568300836</c:v>
                </c:pt>
                <c:pt idx="58">
                  <c:v>-161.78068115143</c:v>
                </c:pt>
                <c:pt idx="59">
                  <c:v>-161.395535622031</c:v>
                </c:pt>
                <c:pt idx="60">
                  <c:v>-160.813199304609</c:v>
                </c:pt>
                <c:pt idx="61">
                  <c:v>-160.539299155313</c:v>
                </c:pt>
                <c:pt idx="62">
                  <c:v>-160.093248285391</c:v>
                </c:pt>
                <c:pt idx="63">
                  <c:v>-159.622166829336</c:v>
                </c:pt>
                <c:pt idx="64">
                  <c:v>-159.48295717125</c:v>
                </c:pt>
                <c:pt idx="65">
                  <c:v>-159.13379806582</c:v>
                </c:pt>
                <c:pt idx="66">
                  <c:v>-158.943776705977</c:v>
                </c:pt>
                <c:pt idx="67">
                  <c:v>-158.613157680039</c:v>
                </c:pt>
                <c:pt idx="68">
                  <c:v>-158.311643219414</c:v>
                </c:pt>
                <c:pt idx="69">
                  <c:v>-158.171337366836</c:v>
                </c:pt>
                <c:pt idx="70">
                  <c:v>-158.461549223867</c:v>
                </c:pt>
                <c:pt idx="71">
                  <c:v>-158.07721171</c:v>
                </c:pt>
                <c:pt idx="72">
                  <c:v>-158.17406957375</c:v>
                </c:pt>
                <c:pt idx="73">
                  <c:v>-158.378780899258</c:v>
                </c:pt>
                <c:pt idx="74">
                  <c:v>-158.41406492418</c:v>
                </c:pt>
                <c:pt idx="75">
                  <c:v>-158.82360070168</c:v>
                </c:pt>
                <c:pt idx="76">
                  <c:v>-158.613169459258</c:v>
                </c:pt>
                <c:pt idx="77">
                  <c:v>-159.229443891953</c:v>
                </c:pt>
                <c:pt idx="78">
                  <c:v>-159.488403692852</c:v>
                </c:pt>
                <c:pt idx="79">
                  <c:v>199.684548722227</c:v>
                </c:pt>
                <c:pt idx="80">
                  <c:v>199.364866903281</c:v>
                </c:pt>
                <c:pt idx="81">
                  <c:v>198.197953513008</c:v>
                </c:pt>
                <c:pt idx="82">
                  <c:v>197.597990448281</c:v>
                </c:pt>
                <c:pt idx="83">
                  <c:v>195.996160900625</c:v>
                </c:pt>
                <c:pt idx="84">
                  <c:v>195.000846293789</c:v>
                </c:pt>
                <c:pt idx="85">
                  <c:v>193.984920285977</c:v>
                </c:pt>
                <c:pt idx="86">
                  <c:v>192.41752233043</c:v>
                </c:pt>
                <c:pt idx="87">
                  <c:v>190.198018462852</c:v>
                </c:pt>
                <c:pt idx="88">
                  <c:v>188.837076991211</c:v>
                </c:pt>
                <c:pt idx="89">
                  <c:v>185.514331999609</c:v>
                </c:pt>
                <c:pt idx="90">
                  <c:v>183.110552745625</c:v>
                </c:pt>
                <c:pt idx="91">
                  <c:v>181.262231098789</c:v>
                </c:pt>
                <c:pt idx="92">
                  <c:v>179.445029787969</c:v>
                </c:pt>
                <c:pt idx="93">
                  <c:v>174.167453522148</c:v>
                </c:pt>
                <c:pt idx="94">
                  <c:v>168.50469496457</c:v>
                </c:pt>
                <c:pt idx="95">
                  <c:v>168.995856209609</c:v>
                </c:pt>
                <c:pt idx="96">
                  <c:v>162.037102151758</c:v>
                </c:pt>
                <c:pt idx="97">
                  <c:v>160.439692131641</c:v>
                </c:pt>
                <c:pt idx="98">
                  <c:v>153.336388782695</c:v>
                </c:pt>
                <c:pt idx="99">
                  <c:v>148.974169942969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"Plant (受控体)"</c:f>
              <c:strCache>
                <c:ptCount val="1"/>
                <c:pt idx="0">
                  <c:v>Plant (受控体)</c:v>
                </c:pt>
              </c:strCache>
            </c:strRef>
          </c:tx>
          <c:spPr>
            <a:ln w="47625" cap="rnd" cmpd="sng" algn="ctr">
              <a:solidFill>
                <a:schemeClr val="accent3">
                  <a:tint val="76667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数据!$A$2:$A$101</c:f>
              <c:numCache>
                <c:formatCode>General</c:formatCode>
                <c:ptCount val="100"/>
                <c:pt idx="0">
                  <c:v>100</c:v>
                </c:pt>
                <c:pt idx="1">
                  <c:v>104.030708</c:v>
                </c:pt>
                <c:pt idx="2">
                  <c:v>108.223877</c:v>
                </c:pt>
                <c:pt idx="3">
                  <c:v>112.58606</c:v>
                </c:pt>
                <c:pt idx="4">
                  <c:v>117.124069</c:v>
                </c:pt>
                <c:pt idx="5">
                  <c:v>121.844994</c:v>
                </c:pt>
                <c:pt idx="6">
                  <c:v>126.756203</c:v>
                </c:pt>
                <c:pt idx="7">
                  <c:v>131.865372</c:v>
                </c:pt>
                <c:pt idx="8">
                  <c:v>137.180481</c:v>
                </c:pt>
                <c:pt idx="9">
                  <c:v>142.709824</c:v>
                </c:pt>
                <c:pt idx="10">
                  <c:v>148.462036</c:v>
                </c:pt>
                <c:pt idx="11">
                  <c:v>154.446106</c:v>
                </c:pt>
                <c:pt idx="12">
                  <c:v>160.671371</c:v>
                </c:pt>
                <c:pt idx="13">
                  <c:v>167.147552</c:v>
                </c:pt>
                <c:pt idx="14">
                  <c:v>173.884781</c:v>
                </c:pt>
                <c:pt idx="15">
                  <c:v>180.89357</c:v>
                </c:pt>
                <c:pt idx="16">
                  <c:v>188.18486</c:v>
                </c:pt>
                <c:pt idx="17">
                  <c:v>195.770035</c:v>
                </c:pt>
                <c:pt idx="18">
                  <c:v>203.66095</c:v>
                </c:pt>
                <c:pt idx="19">
                  <c:v>211.869919</c:v>
                </c:pt>
                <c:pt idx="20">
                  <c:v>220.409775</c:v>
                </c:pt>
                <c:pt idx="21">
                  <c:v>229.293839</c:v>
                </c:pt>
                <c:pt idx="22">
                  <c:v>238.535995</c:v>
                </c:pt>
                <c:pt idx="23">
                  <c:v>248.150681</c:v>
                </c:pt>
                <c:pt idx="24">
                  <c:v>258.152893</c:v>
                </c:pt>
                <c:pt idx="25">
                  <c:v>268.558289</c:v>
                </c:pt>
                <c:pt idx="26">
                  <c:v>279.383087</c:v>
                </c:pt>
                <c:pt idx="27">
                  <c:v>290.644196</c:v>
                </c:pt>
                <c:pt idx="28">
                  <c:v>302.359192</c:v>
                </c:pt>
                <c:pt idx="29">
                  <c:v>314.546387</c:v>
                </c:pt>
                <c:pt idx="30">
                  <c:v>327.224823</c:v>
                </c:pt>
                <c:pt idx="31">
                  <c:v>340.414276</c:v>
                </c:pt>
                <c:pt idx="32">
                  <c:v>354.135376</c:v>
                </c:pt>
                <c:pt idx="33">
                  <c:v>368.409515</c:v>
                </c:pt>
                <c:pt idx="34">
                  <c:v>383.259003</c:v>
                </c:pt>
                <c:pt idx="35">
                  <c:v>398.707031</c:v>
                </c:pt>
                <c:pt idx="36">
                  <c:v>414.77774</c:v>
                </c:pt>
                <c:pt idx="37">
                  <c:v>431.496216</c:v>
                </c:pt>
                <c:pt idx="38">
                  <c:v>448.88855</c:v>
                </c:pt>
                <c:pt idx="39">
                  <c:v>466.981934</c:v>
                </c:pt>
                <c:pt idx="40">
                  <c:v>485.804596</c:v>
                </c:pt>
                <c:pt idx="41">
                  <c:v>505.385956</c:v>
                </c:pt>
                <c:pt idx="42">
                  <c:v>525.756531</c:v>
                </c:pt>
                <c:pt idx="43">
                  <c:v>546.948242</c:v>
                </c:pt>
                <c:pt idx="44">
                  <c:v>568.99408</c:v>
                </c:pt>
                <c:pt idx="45">
                  <c:v>591.928528</c:v>
                </c:pt>
                <c:pt idx="46">
                  <c:v>615.787415</c:v>
                </c:pt>
                <c:pt idx="47">
                  <c:v>640.607971</c:v>
                </c:pt>
                <c:pt idx="48">
                  <c:v>666.428955</c:v>
                </c:pt>
                <c:pt idx="49">
                  <c:v>693.29071</c:v>
                </c:pt>
                <c:pt idx="50">
                  <c:v>721.235229</c:v>
                </c:pt>
                <c:pt idx="51">
                  <c:v>750.306091</c:v>
                </c:pt>
                <c:pt idx="52">
                  <c:v>780.548706</c:v>
                </c:pt>
                <c:pt idx="53">
                  <c:v>812.010315</c:v>
                </c:pt>
                <c:pt idx="54">
                  <c:v>844.740051</c:v>
                </c:pt>
                <c:pt idx="55">
                  <c:v>878.789001</c:v>
                </c:pt>
                <c:pt idx="56">
                  <c:v>914.210388</c:v>
                </c:pt>
                <c:pt idx="57">
                  <c:v>951.059509</c:v>
                </c:pt>
                <c:pt idx="58">
                  <c:v>989.393921</c:v>
                </c:pt>
                <c:pt idx="59">
                  <c:v>1029.27344</c:v>
                </c:pt>
                <c:pt idx="60">
                  <c:v>1070.76038</c:v>
                </c:pt>
                <c:pt idx="61">
                  <c:v>1113.91956</c:v>
                </c:pt>
                <c:pt idx="62">
                  <c:v>1158.81836</c:v>
                </c:pt>
                <c:pt idx="63">
                  <c:v>1205.52686</c:v>
                </c:pt>
                <c:pt idx="64">
                  <c:v>1254.11804</c:v>
                </c:pt>
                <c:pt idx="65">
                  <c:v>1304.66785</c:v>
                </c:pt>
                <c:pt idx="66">
                  <c:v>1357.25513</c:v>
                </c:pt>
                <c:pt idx="67">
                  <c:v>1411.96204</c:v>
                </c:pt>
                <c:pt idx="68">
                  <c:v>1468.87402</c:v>
                </c:pt>
                <c:pt idx="69">
                  <c:v>1528.07996</c:v>
                </c:pt>
                <c:pt idx="70">
                  <c:v>1589.67236</c:v>
                </c:pt>
                <c:pt idx="71">
                  <c:v>1653.74731</c:v>
                </c:pt>
                <c:pt idx="72">
                  <c:v>1720.40503</c:v>
                </c:pt>
                <c:pt idx="73">
                  <c:v>1789.74951</c:v>
                </c:pt>
                <c:pt idx="74">
                  <c:v>1861.88904</c:v>
                </c:pt>
                <c:pt idx="75">
                  <c:v>1936.93628</c:v>
                </c:pt>
                <c:pt idx="76">
                  <c:v>2015.00842</c:v>
                </c:pt>
                <c:pt idx="77">
                  <c:v>2096.22729</c:v>
                </c:pt>
                <c:pt idx="78">
                  <c:v>2180.71997</c:v>
                </c:pt>
                <c:pt idx="79">
                  <c:v>2268.61841</c:v>
                </c:pt>
                <c:pt idx="80">
                  <c:v>2360.05981</c:v>
                </c:pt>
                <c:pt idx="81">
                  <c:v>2455.18677</c:v>
                </c:pt>
                <c:pt idx="82">
                  <c:v>2554.14819</c:v>
                </c:pt>
                <c:pt idx="83">
                  <c:v>2657.09839</c:v>
                </c:pt>
                <c:pt idx="84">
                  <c:v>2764.19824</c:v>
                </c:pt>
                <c:pt idx="85">
                  <c:v>2875.61499</c:v>
                </c:pt>
                <c:pt idx="86">
                  <c:v>2991.52246</c:v>
                </c:pt>
                <c:pt idx="87">
                  <c:v>3112.10181</c:v>
                </c:pt>
                <c:pt idx="88">
                  <c:v>3237.5415</c:v>
                </c:pt>
                <c:pt idx="89">
                  <c:v>3368.03735</c:v>
                </c:pt>
                <c:pt idx="90">
                  <c:v>3503.79297</c:v>
                </c:pt>
                <c:pt idx="91">
                  <c:v>3645.02051</c:v>
                </c:pt>
                <c:pt idx="92">
                  <c:v>3791.94043</c:v>
                </c:pt>
                <c:pt idx="93">
                  <c:v>3944.78223</c:v>
                </c:pt>
                <c:pt idx="94">
                  <c:v>4103.78467</c:v>
                </c:pt>
                <c:pt idx="95">
                  <c:v>4269.19629</c:v>
                </c:pt>
                <c:pt idx="96">
                  <c:v>4441.2749</c:v>
                </c:pt>
                <c:pt idx="97">
                  <c:v>4620.28955</c:v>
                </c:pt>
                <c:pt idx="98">
                  <c:v>4806.51953</c:v>
                </c:pt>
                <c:pt idx="99">
                  <c:v>5000.25635</c:v>
                </c:pt>
              </c:numCache>
            </c:numRef>
          </c:xVal>
          <c:yVal>
            <c:numRef>
              <c:f>数据!$M$2:$M$101</c:f>
              <c:numCache>
                <c:formatCode>0.000</c:formatCode>
                <c:ptCount val="100"/>
                <c:pt idx="0">
                  <c:v>-5.19538269042969</c:v>
                </c:pt>
                <c:pt idx="1">
                  <c:v>-6.30787951178906</c:v>
                </c:pt>
                <c:pt idx="2">
                  <c:v>-6.56301818805469</c:v>
                </c:pt>
                <c:pt idx="3">
                  <c:v>-7.28961242289062</c:v>
                </c:pt>
                <c:pt idx="4">
                  <c:v>-6.84137593271094</c:v>
                </c:pt>
                <c:pt idx="5">
                  <c:v>-7.00170743192969</c:v>
                </c:pt>
                <c:pt idx="6">
                  <c:v>-6.75905074038281</c:v>
                </c:pt>
                <c:pt idx="7">
                  <c:v>-6.38959715004687</c:v>
                </c:pt>
                <c:pt idx="8">
                  <c:v>-7.74845367392969</c:v>
                </c:pt>
                <c:pt idx="9">
                  <c:v>-7.94958985548438</c:v>
                </c:pt>
                <c:pt idx="10">
                  <c:v>-8.42937512326563</c:v>
                </c:pt>
                <c:pt idx="11">
                  <c:v>-8.21290557822656</c:v>
                </c:pt>
                <c:pt idx="12">
                  <c:v>-9.46827956041406</c:v>
                </c:pt>
                <c:pt idx="13">
                  <c:v>-9.19405154860156</c:v>
                </c:pt>
                <c:pt idx="14">
                  <c:v>-10.0566342610391</c:v>
                </c:pt>
                <c:pt idx="15">
                  <c:v>-10.5950566248828</c:v>
                </c:pt>
                <c:pt idx="16">
                  <c:v>-11.4377907277734</c:v>
                </c:pt>
                <c:pt idx="17">
                  <c:v>-11.0775167064844</c:v>
                </c:pt>
                <c:pt idx="18">
                  <c:v>-11.5651532566406</c:v>
                </c:pt>
                <c:pt idx="19">
                  <c:v>-11.4667974379844</c:v>
                </c:pt>
                <c:pt idx="20">
                  <c:v>-13.3797611216797</c:v>
                </c:pt>
                <c:pt idx="21">
                  <c:v>-13.3234098923594</c:v>
                </c:pt>
                <c:pt idx="22">
                  <c:v>-13.2769583936328</c:v>
                </c:pt>
                <c:pt idx="23">
                  <c:v>-13.9326747547891</c:v>
                </c:pt>
                <c:pt idx="24">
                  <c:v>-13.8251682745234</c:v>
                </c:pt>
                <c:pt idx="25">
                  <c:v>-14.8374614829844</c:v>
                </c:pt>
                <c:pt idx="26">
                  <c:v>-16.2673820509844</c:v>
                </c:pt>
                <c:pt idx="27">
                  <c:v>-16.3601086080703</c:v>
                </c:pt>
                <c:pt idx="28">
                  <c:v>-17.1236921987578</c:v>
                </c:pt>
                <c:pt idx="29">
                  <c:v>-17.3173826878984</c:v>
                </c:pt>
                <c:pt idx="30">
                  <c:v>-18.2322837219062</c:v>
                </c:pt>
                <c:pt idx="31">
                  <c:v>-18.6468885814297</c:v>
                </c:pt>
                <c:pt idx="32">
                  <c:v>-19.6625588376797</c:v>
                </c:pt>
                <c:pt idx="33">
                  <c:v>-20.806140536875</c:v>
                </c:pt>
                <c:pt idx="34">
                  <c:v>-20.9260351839375</c:v>
                </c:pt>
                <c:pt idx="35">
                  <c:v>-22.5617526877969</c:v>
                </c:pt>
                <c:pt idx="36">
                  <c:v>-23.2861348614844</c:v>
                </c:pt>
                <c:pt idx="37">
                  <c:v>-24.5397365706484</c:v>
                </c:pt>
                <c:pt idx="38">
                  <c:v>-25.5127679425781</c:v>
                </c:pt>
                <c:pt idx="39">
                  <c:v>-26.2180610315</c:v>
                </c:pt>
                <c:pt idx="40">
                  <c:v>-27.0934111018203</c:v>
                </c:pt>
                <c:pt idx="41">
                  <c:v>-27.4312474653359</c:v>
                </c:pt>
                <c:pt idx="42">
                  <c:v>-30.4223660256875</c:v>
                </c:pt>
                <c:pt idx="43">
                  <c:v>-31.7965667741484</c:v>
                </c:pt>
                <c:pt idx="44">
                  <c:v>-33.0642949792188</c:v>
                </c:pt>
                <c:pt idx="45">
                  <c:v>-33.8825278915547</c:v>
                </c:pt>
                <c:pt idx="46">
                  <c:v>-35.9741028401953</c:v>
                </c:pt>
                <c:pt idx="47">
                  <c:v>-36.7351386125625</c:v>
                </c:pt>
                <c:pt idx="48">
                  <c:v>-39.4088013923047</c:v>
                </c:pt>
                <c:pt idx="49">
                  <c:v>-39.29993439125</c:v>
                </c:pt>
                <c:pt idx="50">
                  <c:v>-43.2947410932969</c:v>
                </c:pt>
                <c:pt idx="51">
                  <c:v>-44.3724740628359</c:v>
                </c:pt>
                <c:pt idx="52">
                  <c:v>-47.113001099125</c:v>
                </c:pt>
                <c:pt idx="53">
                  <c:v>-50.0655033564063</c:v>
                </c:pt>
                <c:pt idx="54">
                  <c:v>-51.4722449365078</c:v>
                </c:pt>
                <c:pt idx="55">
                  <c:v>-53.8699059490078</c:v>
                </c:pt>
                <c:pt idx="56">
                  <c:v>-57.6522944962813</c:v>
                </c:pt>
                <c:pt idx="57">
                  <c:v>-60.2223247705625</c:v>
                </c:pt>
                <c:pt idx="58">
                  <c:v>-63.3394122305313</c:v>
                </c:pt>
                <c:pt idx="59">
                  <c:v>-67.0834170917578</c:v>
                </c:pt>
                <c:pt idx="60">
                  <c:v>-70.5087101688672</c:v>
                </c:pt>
                <c:pt idx="61">
                  <c:v>-73.9626695166406</c:v>
                </c:pt>
                <c:pt idx="62">
                  <c:v>-77.8966693058984</c:v>
                </c:pt>
                <c:pt idx="63">
                  <c:v>-81.9551593830469</c:v>
                </c:pt>
                <c:pt idx="64">
                  <c:v>-87.1681988704688</c:v>
                </c:pt>
                <c:pt idx="65">
                  <c:v>-91.6755766302734</c:v>
                </c:pt>
                <c:pt idx="66">
                  <c:v>-96.5012107880078</c:v>
                </c:pt>
                <c:pt idx="67">
                  <c:v>-101.473875453477</c:v>
                </c:pt>
                <c:pt idx="68">
                  <c:v>-106.197629547539</c:v>
                </c:pt>
                <c:pt idx="69">
                  <c:v>-110.347332239883</c:v>
                </c:pt>
                <c:pt idx="70">
                  <c:v>-117.556474150625</c:v>
                </c:pt>
                <c:pt idx="71">
                  <c:v>-122.067140909219</c:v>
                </c:pt>
                <c:pt idx="72">
                  <c:v>-127.43757360207</c:v>
                </c:pt>
                <c:pt idx="73">
                  <c:v>-133.201717910977</c:v>
                </c:pt>
                <c:pt idx="74">
                  <c:v>-137.972033063828</c:v>
                </c:pt>
                <c:pt idx="75">
                  <c:v>-143.718070916523</c:v>
                </c:pt>
                <c:pt idx="76">
                  <c:v>-146.42417409793</c:v>
                </c:pt>
                <c:pt idx="77">
                  <c:v>-152.615628584336</c:v>
                </c:pt>
                <c:pt idx="78">
                  <c:v>-156.61294592918</c:v>
                </c:pt>
                <c:pt idx="79">
                  <c:v>197.498010025938</c:v>
                </c:pt>
                <c:pt idx="80">
                  <c:v>194.188337972617</c:v>
                </c:pt>
                <c:pt idx="81">
                  <c:v>188.397446921211</c:v>
                </c:pt>
                <c:pt idx="82">
                  <c:v>184.916792328164</c:v>
                </c:pt>
                <c:pt idx="83">
                  <c:v>178.792395031484</c:v>
                </c:pt>
                <c:pt idx="84">
                  <c:v>174.634864238125</c:v>
                </c:pt>
                <c:pt idx="85">
                  <c:v>171.232188962734</c:v>
                </c:pt>
                <c:pt idx="86">
                  <c:v>167.459041495469</c:v>
                </c:pt>
                <c:pt idx="87">
                  <c:v>162.617619903281</c:v>
                </c:pt>
                <c:pt idx="88">
                  <c:v>160.350062220703</c:v>
                </c:pt>
                <c:pt idx="89">
                  <c:v>152.335132780859</c:v>
                </c:pt>
                <c:pt idx="90">
                  <c:v>150.30903907375</c:v>
                </c:pt>
                <c:pt idx="91">
                  <c:v>146.354607807773</c:v>
                </c:pt>
                <c:pt idx="92">
                  <c:v>142.98471789832</c:v>
                </c:pt>
                <c:pt idx="93">
                  <c:v>138.753635162773</c:v>
                </c:pt>
                <c:pt idx="94">
                  <c:v>130.980402972383</c:v>
                </c:pt>
                <c:pt idx="95">
                  <c:v>130.850836678359</c:v>
                </c:pt>
                <c:pt idx="96">
                  <c:v>125.256813455469</c:v>
                </c:pt>
                <c:pt idx="97">
                  <c:v>123.448694817188</c:v>
                </c:pt>
                <c:pt idx="98">
                  <c:v>118.424401478008</c:v>
                </c:pt>
                <c:pt idx="99">
                  <c:v>116.977847311133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Phase (deg)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Frequency (Hz)</a:t>
                </a:r>
              </a:p>
            </c:rich>
          </c:tx>
          <c:layout/>
          <c:overlay val="0"/>
        </c:title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28c6d2-3e6a-47c7-80f8-24c05f57b0a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1</xdr:row>
      <xdr:rowOff>0</xdr:rowOff>
    </xdr:from>
    <xdr:ext cx="6480000" cy="3204100"/>
    <xdr:graphicFrame>
      <xdr:nvGraphicFramePr>
        <xdr:cNvPr id="2" name="Chart 1"/>
        <xdr:cNvGraphicFramePr/>
      </xdr:nvGraphicFramePr>
      <xdr:xfrm>
        <a:off x="14319250" y="355600"/>
        <a:ext cx="6479540" cy="320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21</xdr:row>
      <xdr:rowOff>0</xdr:rowOff>
    </xdr:from>
    <xdr:ext cx="6480000" cy="3204100"/>
    <xdr:graphicFrame>
      <xdr:nvGraphicFramePr>
        <xdr:cNvPr id="3" name="Chart 2"/>
        <xdr:cNvGraphicFramePr/>
      </xdr:nvGraphicFramePr>
      <xdr:xfrm>
        <a:off x="14319250" y="3911600"/>
        <a:ext cx="6479540" cy="320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6" sqref="A6"/>
    </sheetView>
  </sheetViews>
  <sheetFormatPr defaultColWidth="9" defaultRowHeight="14"/>
  <cols>
    <col min="1" max="1" width="118" customWidth="1"/>
  </cols>
  <sheetData>
    <row r="1" ht="15" spans="1:1">
      <c r="A1" s="5" t="s">
        <v>0</v>
      </c>
    </row>
    <row r="2" spans="1:1">
      <c r="A2" s="6" t="s">
        <v>1</v>
      </c>
    </row>
    <row r="3" spans="1:1">
      <c r="A3" s="7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1</v>
      </c>
    </row>
    <row r="9" spans="1:1">
      <c r="A9" s="7" t="s">
        <v>7</v>
      </c>
    </row>
    <row r="10" spans="1:1">
      <c r="A10" s="6" t="s">
        <v>8</v>
      </c>
    </row>
    <row r="11" spans="1:1">
      <c r="A11" s="6" t="s">
        <v>9</v>
      </c>
    </row>
    <row r="12" spans="1:1">
      <c r="A12" s="6" t="s">
        <v>10</v>
      </c>
    </row>
    <row r="13" spans="1:1">
      <c r="A13" s="6" t="s">
        <v>1</v>
      </c>
    </row>
    <row r="14" spans="1:1">
      <c r="A14" s="7" t="s">
        <v>11</v>
      </c>
    </row>
    <row r="15" spans="1:1">
      <c r="A15" s="6" t="s">
        <v>12</v>
      </c>
    </row>
    <row r="16" spans="1:1">
      <c r="A16" s="6" t="s">
        <v>13</v>
      </c>
    </row>
    <row r="17" spans="1:1">
      <c r="A17" s="6" t="s">
        <v>14</v>
      </c>
    </row>
    <row r="18" spans="1:1">
      <c r="A18" s="6" t="s">
        <v>15</v>
      </c>
    </row>
    <row r="19" spans="1:1">
      <c r="A19" s="6" t="s">
        <v>16</v>
      </c>
    </row>
    <row r="20" spans="1:1">
      <c r="A20" s="6" t="s">
        <v>17</v>
      </c>
    </row>
    <row r="21" spans="1:1">
      <c r="A21" s="6" t="s">
        <v>18</v>
      </c>
    </row>
    <row r="22" spans="1:1">
      <c r="A22" s="6" t="s">
        <v>19</v>
      </c>
    </row>
    <row r="23" spans="1:1">
      <c r="A23" s="6" t="s">
        <v>20</v>
      </c>
    </row>
    <row r="24" spans="1:1">
      <c r="A24" s="6" t="s">
        <v>21</v>
      </c>
    </row>
    <row r="25" spans="1:1">
      <c r="A25" s="6" t="s">
        <v>1</v>
      </c>
    </row>
    <row r="26" spans="1:1">
      <c r="A26" s="7" t="s">
        <v>22</v>
      </c>
    </row>
    <row r="27" spans="1:1">
      <c r="A27" s="6" t="s">
        <v>23</v>
      </c>
    </row>
    <row r="28" spans="1:1">
      <c r="A28" s="6" t="s">
        <v>24</v>
      </c>
    </row>
    <row r="29" spans="1:1">
      <c r="A29" s="6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abSelected="1" workbookViewId="0">
      <pane ySplit="1" topLeftCell="A2" activePane="bottomLeft" state="frozen"/>
      <selection/>
      <selection pane="bottomLeft" activeCell="J104" sqref="J104"/>
    </sheetView>
  </sheetViews>
  <sheetFormatPr defaultColWidth="9" defaultRowHeight="14"/>
  <cols>
    <col min="1" max="1" width="14" customWidth="1"/>
    <col min="2" max="2" width="15" customWidth="1"/>
    <col min="3" max="4" width="16" customWidth="1"/>
    <col min="5" max="5" width="18" customWidth="1"/>
    <col min="6" max="6" width="12" customWidth="1"/>
    <col min="7" max="8" width="13" customWidth="1"/>
    <col min="9" max="10" width="15" customWidth="1"/>
    <col min="11" max="11" width="17" customWidth="1"/>
    <col min="12" max="12" width="15" customWidth="1"/>
    <col min="13" max="13" width="17" customWidth="1"/>
  </cols>
  <sheetData>
    <row r="1" ht="28" spans="1:1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3" t="s">
        <v>35</v>
      </c>
      <c r="K1" s="3" t="s">
        <v>36</v>
      </c>
      <c r="L1" s="3" t="s">
        <v>37</v>
      </c>
      <c r="M1" s="3" t="s">
        <v>38</v>
      </c>
    </row>
    <row r="2" spans="1:13">
      <c r="A2">
        <v>100</v>
      </c>
      <c r="B2">
        <v>111995</v>
      </c>
      <c r="C2">
        <v>-11709252</v>
      </c>
      <c r="D2">
        <v>976588</v>
      </c>
      <c r="E2">
        <v>-399467</v>
      </c>
      <c r="F2" s="4">
        <f t="shared" ref="F2:F65" si="0">IF(B2="","",B2/65536)</f>
        <v>1.70890808105469</v>
      </c>
      <c r="G2" s="4">
        <f t="shared" ref="G2:G65" si="1">IF(C2="","",C2/65536)</f>
        <v>-178.669006347656</v>
      </c>
      <c r="H2" s="4">
        <f t="shared" ref="H2:H65" si="2">IF(D2="","",D2/65536)</f>
        <v>14.9015502929687</v>
      </c>
      <c r="I2" s="4">
        <f t="shared" ref="I2:I65" si="3">IF(E2="","",E2/65536)</f>
        <v>-6.09538269042969</v>
      </c>
      <c r="J2" s="4">
        <f t="shared" ref="J2:J65" si="4">IF(OR(F2="",A2=""),"",F2-20*LOG10(ABS(SIN(PI()*A2/20000)/(PI()*A2/20000))))</f>
        <v>1.70926527688669</v>
      </c>
      <c r="K2" s="4">
        <f t="shared" ref="K2:K65" si="5">IF(OR(G2="",A2=""),"",G2+180*A2/20000)</f>
        <v>-177.769006347656</v>
      </c>
      <c r="L2" s="4">
        <f t="shared" ref="L2:L65" si="6">IF(OR(H2="",A2=""),"",H2-20*LOG10(ABS(SIN(PI()*A2/20000)/(PI()*A2/20000))))</f>
        <v>14.9019074888008</v>
      </c>
      <c r="M2" s="4">
        <f t="shared" ref="M2:M65" si="7">IF(OR(I2="",A2=""),"",I2+180*A2/20000)</f>
        <v>-5.19538269042969</v>
      </c>
    </row>
    <row r="3" spans="1:13">
      <c r="A3">
        <v>104.030708</v>
      </c>
      <c r="B3">
        <v>111752</v>
      </c>
      <c r="C3">
        <v>-11692980</v>
      </c>
      <c r="D3">
        <v>976093</v>
      </c>
      <c r="E3">
        <v>-474753</v>
      </c>
      <c r="F3" s="4">
        <f t="shared" si="0"/>
        <v>1.7052001953125</v>
      </c>
      <c r="G3" s="4">
        <f t="shared" si="1"/>
        <v>-178.420715332031</v>
      </c>
      <c r="H3" s="4">
        <f t="shared" si="2"/>
        <v>14.8939971923828</v>
      </c>
      <c r="I3" s="4">
        <f t="shared" si="3"/>
        <v>-7.24415588378906</v>
      </c>
      <c r="J3" s="4">
        <f t="shared" si="4"/>
        <v>1.70558676676996</v>
      </c>
      <c r="K3" s="4">
        <f t="shared" si="5"/>
        <v>-177.484438960031</v>
      </c>
      <c r="L3" s="4">
        <f t="shared" si="6"/>
        <v>14.8943837638403</v>
      </c>
      <c r="M3" s="4">
        <f t="shared" si="7"/>
        <v>-6.30787951178906</v>
      </c>
    </row>
    <row r="4" spans="1:13">
      <c r="A4">
        <v>108.223877</v>
      </c>
      <c r="B4">
        <v>111874</v>
      </c>
      <c r="C4">
        <v>-11688453</v>
      </c>
      <c r="D4">
        <v>975025</v>
      </c>
      <c r="E4">
        <v>-493947</v>
      </c>
      <c r="F4" s="4">
        <f t="shared" si="0"/>
        <v>1.70706176757812</v>
      </c>
      <c r="G4" s="4">
        <f t="shared" si="1"/>
        <v>-178.351638793945</v>
      </c>
      <c r="H4" s="4">
        <f t="shared" si="2"/>
        <v>14.8777008056641</v>
      </c>
      <c r="I4" s="4">
        <f t="shared" si="3"/>
        <v>-7.53703308105469</v>
      </c>
      <c r="J4" s="4">
        <f t="shared" si="4"/>
        <v>1.70748013048342</v>
      </c>
      <c r="K4" s="4">
        <f t="shared" si="5"/>
        <v>-177.377623900945</v>
      </c>
      <c r="L4" s="4">
        <f t="shared" si="6"/>
        <v>14.8781191685694</v>
      </c>
      <c r="M4" s="4">
        <f t="shared" si="7"/>
        <v>-6.56301818805469</v>
      </c>
    </row>
    <row r="5" spans="1:13">
      <c r="A5">
        <v>112.58606</v>
      </c>
      <c r="B5">
        <v>111109</v>
      </c>
      <c r="C5">
        <v>-11678140</v>
      </c>
      <c r="D5">
        <v>977318</v>
      </c>
      <c r="E5">
        <v>-544138</v>
      </c>
      <c r="F5" s="4">
        <f t="shared" si="0"/>
        <v>1.69538879394531</v>
      </c>
      <c r="G5" s="4">
        <f t="shared" si="1"/>
        <v>-178.194274902344</v>
      </c>
      <c r="H5" s="4">
        <f t="shared" si="2"/>
        <v>14.9126892089844</v>
      </c>
      <c r="I5" s="4">
        <f t="shared" si="3"/>
        <v>-8.30288696289062</v>
      </c>
      <c r="J5" s="4">
        <f t="shared" si="4"/>
        <v>1.69584156283729</v>
      </c>
      <c r="K5" s="4">
        <f t="shared" si="5"/>
        <v>-177.181000362344</v>
      </c>
      <c r="L5" s="4">
        <f t="shared" si="6"/>
        <v>14.9131419778763</v>
      </c>
      <c r="M5" s="4">
        <f t="shared" si="7"/>
        <v>-7.28961242289062</v>
      </c>
    </row>
    <row r="6" spans="1:13">
      <c r="A6">
        <v>117.124069</v>
      </c>
      <c r="B6">
        <v>112195</v>
      </c>
      <c r="C6">
        <v>-11682838</v>
      </c>
      <c r="D6">
        <v>972983</v>
      </c>
      <c r="E6">
        <v>-517439</v>
      </c>
      <c r="F6" s="4">
        <f t="shared" si="0"/>
        <v>1.71195983886719</v>
      </c>
      <c r="G6" s="4">
        <f t="shared" si="1"/>
        <v>-178.265960693359</v>
      </c>
      <c r="H6" s="4">
        <f t="shared" si="2"/>
        <v>14.8465423583984</v>
      </c>
      <c r="I6" s="4">
        <f t="shared" si="3"/>
        <v>-7.89549255371094</v>
      </c>
      <c r="J6" s="4">
        <f t="shared" si="4"/>
        <v>1.71244984330607</v>
      </c>
      <c r="K6" s="4">
        <f t="shared" si="5"/>
        <v>-177.211844072359</v>
      </c>
      <c r="L6" s="4">
        <f t="shared" si="6"/>
        <v>14.8470323628373</v>
      </c>
      <c r="M6" s="4">
        <f t="shared" si="7"/>
        <v>-6.84137593271094</v>
      </c>
    </row>
    <row r="7" spans="1:13">
      <c r="A7">
        <v>121.844994</v>
      </c>
      <c r="B7">
        <v>110336</v>
      </c>
      <c r="C7">
        <v>-11682036</v>
      </c>
      <c r="D7">
        <v>981296</v>
      </c>
      <c r="E7">
        <v>-530731</v>
      </c>
      <c r="F7" s="4">
        <f t="shared" si="0"/>
        <v>1.68359375</v>
      </c>
      <c r="G7" s="4">
        <f t="shared" si="1"/>
        <v>-178.253723144531</v>
      </c>
      <c r="H7" s="4">
        <f t="shared" si="2"/>
        <v>14.973388671875</v>
      </c>
      <c r="I7" s="4">
        <f t="shared" si="3"/>
        <v>-8.09831237792969</v>
      </c>
      <c r="J7" s="4">
        <f t="shared" si="4"/>
        <v>1.68412405228141</v>
      </c>
      <c r="K7" s="4">
        <f t="shared" si="5"/>
        <v>-177.157118198531</v>
      </c>
      <c r="L7" s="4">
        <f t="shared" si="6"/>
        <v>14.9739189741564</v>
      </c>
      <c r="M7" s="4">
        <f t="shared" si="7"/>
        <v>-7.00170743192969</v>
      </c>
    </row>
    <row r="8" spans="1:13">
      <c r="A8">
        <v>126.756203</v>
      </c>
      <c r="B8">
        <v>109650</v>
      </c>
      <c r="C8">
        <v>-11685646</v>
      </c>
      <c r="D8">
        <v>984874</v>
      </c>
      <c r="E8">
        <v>-517725</v>
      </c>
      <c r="F8" s="4">
        <f t="shared" si="0"/>
        <v>1.67312622070312</v>
      </c>
      <c r="G8" s="4">
        <f t="shared" si="1"/>
        <v>-178.308807373047</v>
      </c>
      <c r="H8" s="4">
        <f t="shared" si="2"/>
        <v>15.0279846191406</v>
      </c>
      <c r="I8" s="4">
        <f t="shared" si="3"/>
        <v>-7.89985656738281</v>
      </c>
      <c r="J8" s="4">
        <f t="shared" si="4"/>
        <v>1.67370013493243</v>
      </c>
      <c r="K8" s="4">
        <f t="shared" si="5"/>
        <v>-177.168001546047</v>
      </c>
      <c r="L8" s="4">
        <f t="shared" si="6"/>
        <v>15.0285585333699</v>
      </c>
      <c r="M8" s="4">
        <f t="shared" si="7"/>
        <v>-6.75905074038281</v>
      </c>
    </row>
    <row r="9" spans="1:13">
      <c r="A9">
        <v>131.865372</v>
      </c>
      <c r="B9">
        <v>111205</v>
      </c>
      <c r="C9">
        <v>-11688568</v>
      </c>
      <c r="D9">
        <v>978082</v>
      </c>
      <c r="E9">
        <v>-496526</v>
      </c>
      <c r="F9" s="4">
        <f t="shared" si="0"/>
        <v>1.69685363769531</v>
      </c>
      <c r="G9" s="4">
        <f t="shared" si="1"/>
        <v>-178.353393554687</v>
      </c>
      <c r="H9" s="4">
        <f t="shared" si="2"/>
        <v>14.9243469238281</v>
      </c>
      <c r="I9" s="4">
        <f t="shared" si="3"/>
        <v>-7.57638549804687</v>
      </c>
      <c r="J9" s="4">
        <f t="shared" si="4"/>
        <v>1.69747475059688</v>
      </c>
      <c r="K9" s="4">
        <f t="shared" si="5"/>
        <v>-177.166605206688</v>
      </c>
      <c r="L9" s="4">
        <f t="shared" si="6"/>
        <v>14.9249680367297</v>
      </c>
      <c r="M9" s="4">
        <f t="shared" si="7"/>
        <v>-6.38959715004687</v>
      </c>
    </row>
    <row r="10" spans="1:13">
      <c r="A10">
        <v>137.180481</v>
      </c>
      <c r="B10">
        <v>108486</v>
      </c>
      <c r="C10">
        <v>-11671551</v>
      </c>
      <c r="D10">
        <v>988436</v>
      </c>
      <c r="E10">
        <v>-588715</v>
      </c>
      <c r="F10" s="4">
        <f t="shared" si="0"/>
        <v>1.65536499023437</v>
      </c>
      <c r="G10" s="4">
        <f t="shared" si="1"/>
        <v>-178.093734741211</v>
      </c>
      <c r="H10" s="4">
        <f t="shared" si="2"/>
        <v>15.0823364257812</v>
      </c>
      <c r="I10" s="4">
        <f t="shared" si="3"/>
        <v>-8.98307800292969</v>
      </c>
      <c r="J10" s="4">
        <f t="shared" si="4"/>
        <v>1.65603718352794</v>
      </c>
      <c r="K10" s="4">
        <f t="shared" si="5"/>
        <v>-176.859110412211</v>
      </c>
      <c r="L10" s="4">
        <f t="shared" si="6"/>
        <v>15.0830086190748</v>
      </c>
      <c r="M10" s="4">
        <f t="shared" si="7"/>
        <v>-7.74845367392969</v>
      </c>
    </row>
    <row r="11" spans="1:13">
      <c r="A11">
        <v>142.709824</v>
      </c>
      <c r="B11">
        <v>109555</v>
      </c>
      <c r="C11">
        <v>-11666566</v>
      </c>
      <c r="D11">
        <v>982877</v>
      </c>
      <c r="E11">
        <v>-605158</v>
      </c>
      <c r="F11" s="4">
        <f t="shared" si="0"/>
        <v>1.67167663574219</v>
      </c>
      <c r="G11" s="4">
        <f t="shared" si="1"/>
        <v>-178.017669677734</v>
      </c>
      <c r="H11" s="4">
        <f t="shared" si="2"/>
        <v>14.9975128173828</v>
      </c>
      <c r="I11" s="4">
        <f t="shared" si="3"/>
        <v>-9.23397827148437</v>
      </c>
      <c r="J11" s="4">
        <f t="shared" si="4"/>
        <v>1.67240411032898</v>
      </c>
      <c r="K11" s="4">
        <f t="shared" si="5"/>
        <v>-176.733281261734</v>
      </c>
      <c r="L11" s="4">
        <f t="shared" si="6"/>
        <v>14.9982402919696</v>
      </c>
      <c r="M11" s="4">
        <f t="shared" si="7"/>
        <v>-7.94958985548438</v>
      </c>
    </row>
    <row r="12" spans="1:13">
      <c r="A12">
        <v>148.462036</v>
      </c>
      <c r="B12">
        <v>109398</v>
      </c>
      <c r="C12">
        <v>-11659175</v>
      </c>
      <c r="D12">
        <v>982520</v>
      </c>
      <c r="E12">
        <v>-639994</v>
      </c>
      <c r="F12" s="4">
        <f t="shared" si="0"/>
        <v>1.66928100585937</v>
      </c>
      <c r="G12" s="4">
        <f t="shared" si="1"/>
        <v>-177.904891967773</v>
      </c>
      <c r="H12" s="4">
        <f t="shared" si="2"/>
        <v>14.9920654296875</v>
      </c>
      <c r="I12" s="4">
        <f t="shared" si="3"/>
        <v>-9.76553344726562</v>
      </c>
      <c r="J12" s="4">
        <f t="shared" si="4"/>
        <v>1.67006830813733</v>
      </c>
      <c r="K12" s="4">
        <f t="shared" si="5"/>
        <v>-176.568733643773</v>
      </c>
      <c r="L12" s="4">
        <f t="shared" si="6"/>
        <v>14.9928527319655</v>
      </c>
      <c r="M12" s="4">
        <f t="shared" si="7"/>
        <v>-8.42937512326563</v>
      </c>
    </row>
    <row r="13" spans="1:13">
      <c r="A13">
        <v>154.446106</v>
      </c>
      <c r="B13">
        <v>108903</v>
      </c>
      <c r="C13">
        <v>-11662155</v>
      </c>
      <c r="D13">
        <v>985230</v>
      </c>
      <c r="E13">
        <v>-629337</v>
      </c>
      <c r="F13" s="4">
        <f t="shared" si="0"/>
        <v>1.66172790527344</v>
      </c>
      <c r="G13" s="4">
        <f t="shared" si="1"/>
        <v>-177.95036315918</v>
      </c>
      <c r="H13" s="4">
        <f t="shared" si="2"/>
        <v>15.0334167480469</v>
      </c>
      <c r="I13" s="4">
        <f t="shared" si="3"/>
        <v>-9.60292053222656</v>
      </c>
      <c r="J13" s="4">
        <f t="shared" si="4"/>
        <v>1.66257995561976</v>
      </c>
      <c r="K13" s="4">
        <f t="shared" si="5"/>
        <v>-176.56034820518</v>
      </c>
      <c r="L13" s="4">
        <f t="shared" si="6"/>
        <v>15.0342687983932</v>
      </c>
      <c r="M13" s="4">
        <f t="shared" si="7"/>
        <v>-8.21290557822656</v>
      </c>
    </row>
    <row r="14" spans="1:13">
      <c r="A14">
        <v>160.671371</v>
      </c>
      <c r="B14">
        <v>107400</v>
      </c>
      <c r="C14">
        <v>-11645596</v>
      </c>
      <c r="D14">
        <v>989556</v>
      </c>
      <c r="E14">
        <v>-715281</v>
      </c>
      <c r="F14" s="4">
        <f t="shared" si="0"/>
        <v>1.6387939453125</v>
      </c>
      <c r="G14" s="4">
        <f t="shared" si="1"/>
        <v>-177.697692871094</v>
      </c>
      <c r="H14" s="4">
        <f t="shared" si="2"/>
        <v>15.0994262695312</v>
      </c>
      <c r="I14" s="4">
        <f t="shared" si="3"/>
        <v>-10.9143218994141</v>
      </c>
      <c r="J14" s="4">
        <f t="shared" si="4"/>
        <v>1.63971606868716</v>
      </c>
      <c r="K14" s="4">
        <f t="shared" si="5"/>
        <v>-176.251650532094</v>
      </c>
      <c r="L14" s="4">
        <f t="shared" si="6"/>
        <v>15.1003483929059</v>
      </c>
      <c r="M14" s="4">
        <f t="shared" si="7"/>
        <v>-9.46827956041406</v>
      </c>
    </row>
    <row r="15" spans="1:13">
      <c r="A15">
        <v>167.147552</v>
      </c>
      <c r="B15">
        <v>107887</v>
      </c>
      <c r="C15">
        <v>-11647945</v>
      </c>
      <c r="D15">
        <v>987680</v>
      </c>
      <c r="E15">
        <v>-701129</v>
      </c>
      <c r="F15" s="4">
        <f t="shared" si="0"/>
        <v>1.64622497558594</v>
      </c>
      <c r="G15" s="4">
        <f t="shared" si="1"/>
        <v>-177.733535766602</v>
      </c>
      <c r="H15" s="4">
        <f t="shared" si="2"/>
        <v>15.07080078125</v>
      </c>
      <c r="I15" s="4">
        <f t="shared" si="3"/>
        <v>-10.6983795166016</v>
      </c>
      <c r="J15" s="4">
        <f t="shared" si="4"/>
        <v>1.64722293488922</v>
      </c>
      <c r="K15" s="4">
        <f t="shared" si="5"/>
        <v>-176.229207798602</v>
      </c>
      <c r="L15" s="4">
        <f t="shared" si="6"/>
        <v>15.0717987405533</v>
      </c>
      <c r="M15" s="4">
        <f t="shared" si="7"/>
        <v>-9.19405154860156</v>
      </c>
    </row>
    <row r="16" spans="1:13">
      <c r="A16">
        <v>173.884781</v>
      </c>
      <c r="B16">
        <v>106202</v>
      </c>
      <c r="C16">
        <v>-11637403</v>
      </c>
      <c r="D16">
        <v>993699</v>
      </c>
      <c r="E16">
        <v>-761633</v>
      </c>
      <c r="F16" s="4">
        <f t="shared" si="0"/>
        <v>1.62051391601562</v>
      </c>
      <c r="G16" s="4">
        <f t="shared" si="1"/>
        <v>-177.572677612305</v>
      </c>
      <c r="H16" s="4">
        <f t="shared" si="2"/>
        <v>15.1626434326172</v>
      </c>
      <c r="I16" s="4">
        <f t="shared" si="3"/>
        <v>-11.6215972900391</v>
      </c>
      <c r="J16" s="4">
        <f t="shared" si="4"/>
        <v>1.62159394834688</v>
      </c>
      <c r="K16" s="4">
        <f t="shared" si="5"/>
        <v>-176.007714583305</v>
      </c>
      <c r="L16" s="4">
        <f t="shared" si="6"/>
        <v>15.1637234649484</v>
      </c>
      <c r="M16" s="4">
        <f t="shared" si="7"/>
        <v>-10.0566342610391</v>
      </c>
    </row>
    <row r="17" spans="1:13">
      <c r="A17">
        <v>180.89357</v>
      </c>
      <c r="B17">
        <v>105959</v>
      </c>
      <c r="C17">
        <v>-11629267</v>
      </c>
      <c r="D17">
        <v>993300</v>
      </c>
      <c r="E17">
        <v>-801053</v>
      </c>
      <c r="F17" s="4">
        <f t="shared" si="0"/>
        <v>1.61680603027344</v>
      </c>
      <c r="G17" s="4">
        <f t="shared" si="1"/>
        <v>-177.448532104492</v>
      </c>
      <c r="H17" s="4">
        <f t="shared" si="2"/>
        <v>15.1565551757812</v>
      </c>
      <c r="I17" s="4">
        <f t="shared" si="3"/>
        <v>-12.2230987548828</v>
      </c>
      <c r="J17" s="4">
        <f t="shared" si="4"/>
        <v>1.61797488559633</v>
      </c>
      <c r="K17" s="4">
        <f t="shared" si="5"/>
        <v>-175.820489974492</v>
      </c>
      <c r="L17" s="4">
        <f t="shared" si="6"/>
        <v>15.1577240311041</v>
      </c>
      <c r="M17" s="4">
        <f t="shared" si="7"/>
        <v>-10.5950566248828</v>
      </c>
    </row>
    <row r="18" spans="1:13">
      <c r="A18">
        <v>188.18486</v>
      </c>
      <c r="B18">
        <v>104447</v>
      </c>
      <c r="C18">
        <v>-11619126</v>
      </c>
      <c r="D18">
        <v>998381</v>
      </c>
      <c r="E18">
        <v>-860583</v>
      </c>
      <c r="F18" s="4">
        <f t="shared" si="0"/>
        <v>1.59373474121094</v>
      </c>
      <c r="G18" s="4">
        <f t="shared" si="1"/>
        <v>-177.293792724609</v>
      </c>
      <c r="H18" s="4">
        <f t="shared" si="2"/>
        <v>15.2340850830078</v>
      </c>
      <c r="I18" s="4">
        <f t="shared" si="3"/>
        <v>-13.1314544677734</v>
      </c>
      <c r="J18" s="4">
        <f t="shared" si="4"/>
        <v>1.59499972459569</v>
      </c>
      <c r="K18" s="4">
        <f t="shared" si="5"/>
        <v>-175.600128984609</v>
      </c>
      <c r="L18" s="4">
        <f t="shared" si="6"/>
        <v>15.2353500663926</v>
      </c>
      <c r="M18" s="4">
        <f t="shared" si="7"/>
        <v>-11.4377907277734</v>
      </c>
    </row>
    <row r="19" spans="1:13">
      <c r="A19">
        <v>195.770035</v>
      </c>
      <c r="B19">
        <v>105681</v>
      </c>
      <c r="C19">
        <v>-11620959</v>
      </c>
      <c r="D19">
        <v>993048</v>
      </c>
      <c r="E19">
        <v>-841446</v>
      </c>
      <c r="F19" s="4">
        <f t="shared" si="0"/>
        <v>1.61256408691406</v>
      </c>
      <c r="G19" s="4">
        <f t="shared" si="1"/>
        <v>-177.321762084961</v>
      </c>
      <c r="H19" s="4">
        <f t="shared" si="2"/>
        <v>15.1527099609375</v>
      </c>
      <c r="I19" s="4">
        <f t="shared" si="3"/>
        <v>-12.8394470214844</v>
      </c>
      <c r="J19" s="4">
        <f t="shared" si="4"/>
        <v>1.6139331042193</v>
      </c>
      <c r="K19" s="4">
        <f t="shared" si="5"/>
        <v>-175.559831769961</v>
      </c>
      <c r="L19" s="4">
        <f t="shared" si="6"/>
        <v>15.1540789782427</v>
      </c>
      <c r="M19" s="4">
        <f t="shared" si="7"/>
        <v>-11.0775167064844</v>
      </c>
    </row>
    <row r="20" spans="1:13">
      <c r="A20">
        <v>203.66095</v>
      </c>
      <c r="B20">
        <v>105776</v>
      </c>
      <c r="C20">
        <v>-11612766</v>
      </c>
      <c r="D20">
        <v>991041</v>
      </c>
      <c r="E20">
        <v>-878058</v>
      </c>
      <c r="F20" s="4">
        <f t="shared" si="0"/>
        <v>1.614013671875</v>
      </c>
      <c r="G20" s="4">
        <f t="shared" si="1"/>
        <v>-177.196746826172</v>
      </c>
      <c r="H20" s="4">
        <f t="shared" si="2"/>
        <v>15.1220855712891</v>
      </c>
      <c r="I20" s="4">
        <f t="shared" si="3"/>
        <v>-13.3981018066406</v>
      </c>
      <c r="J20" s="4">
        <f t="shared" si="4"/>
        <v>1.6154952793397</v>
      </c>
      <c r="K20" s="4">
        <f t="shared" si="5"/>
        <v>-175.363798276172</v>
      </c>
      <c r="L20" s="4">
        <f t="shared" si="6"/>
        <v>15.1235671787538</v>
      </c>
      <c r="M20" s="4">
        <f t="shared" si="7"/>
        <v>-11.5651532566406</v>
      </c>
    </row>
    <row r="21" spans="1:13">
      <c r="A21">
        <v>211.869919</v>
      </c>
      <c r="B21">
        <v>107548</v>
      </c>
      <c r="C21">
        <v>-11609672</v>
      </c>
      <c r="D21">
        <v>982408</v>
      </c>
      <c r="E21">
        <v>-876454</v>
      </c>
      <c r="F21" s="4">
        <f t="shared" si="0"/>
        <v>1.64105224609375</v>
      </c>
      <c r="G21" s="4">
        <f t="shared" si="1"/>
        <v>-177.149536132812</v>
      </c>
      <c r="H21" s="4">
        <f t="shared" si="2"/>
        <v>14.9903564453125</v>
      </c>
      <c r="I21" s="4">
        <f t="shared" si="3"/>
        <v>-13.3736267089844</v>
      </c>
      <c r="J21" s="4">
        <f t="shared" si="4"/>
        <v>1.64265570356871</v>
      </c>
      <c r="K21" s="4">
        <f t="shared" si="5"/>
        <v>-175.242706861813</v>
      </c>
      <c r="L21" s="4">
        <f t="shared" si="6"/>
        <v>14.9919599027875</v>
      </c>
      <c r="M21" s="4">
        <f t="shared" si="7"/>
        <v>-11.4667974379844</v>
      </c>
    </row>
    <row r="22" spans="1:13">
      <c r="A22">
        <v>220.409775</v>
      </c>
      <c r="B22">
        <v>102858</v>
      </c>
      <c r="C22">
        <v>-11590592</v>
      </c>
      <c r="D22">
        <v>999519</v>
      </c>
      <c r="E22">
        <v>-1006859</v>
      </c>
      <c r="F22" s="4">
        <f t="shared" si="0"/>
        <v>1.56948852539062</v>
      </c>
      <c r="G22" s="4">
        <f t="shared" si="1"/>
        <v>-176.8583984375</v>
      </c>
      <c r="H22" s="4">
        <f t="shared" si="2"/>
        <v>15.2514495849609</v>
      </c>
      <c r="I22" s="4">
        <f t="shared" si="3"/>
        <v>-15.3634490966797</v>
      </c>
      <c r="J22" s="4">
        <f t="shared" si="4"/>
        <v>1.57122385455883</v>
      </c>
      <c r="K22" s="4">
        <f t="shared" si="5"/>
        <v>-174.8747104625</v>
      </c>
      <c r="L22" s="4">
        <f t="shared" si="6"/>
        <v>15.2531849141291</v>
      </c>
      <c r="M22" s="4">
        <f t="shared" si="7"/>
        <v>-13.3797611216797</v>
      </c>
    </row>
    <row r="23" spans="1:13">
      <c r="A23">
        <v>229.293839</v>
      </c>
      <c r="B23">
        <v>105342</v>
      </c>
      <c r="C23">
        <v>-11584748</v>
      </c>
      <c r="D23">
        <v>986950</v>
      </c>
      <c r="E23">
        <v>-1008406</v>
      </c>
      <c r="F23" s="4">
        <f t="shared" si="0"/>
        <v>1.60739135742187</v>
      </c>
      <c r="G23" s="4">
        <f t="shared" si="1"/>
        <v>-176.769226074219</v>
      </c>
      <c r="H23" s="4">
        <f t="shared" si="2"/>
        <v>15.0596618652344</v>
      </c>
      <c r="I23" s="4">
        <f t="shared" si="3"/>
        <v>-15.3870544433594</v>
      </c>
      <c r="J23" s="4">
        <f t="shared" si="4"/>
        <v>1.6092694040153</v>
      </c>
      <c r="K23" s="4">
        <f t="shared" si="5"/>
        <v>-174.705581523219</v>
      </c>
      <c r="L23" s="4">
        <f t="shared" si="6"/>
        <v>15.0615399118278</v>
      </c>
      <c r="M23" s="4">
        <f t="shared" si="7"/>
        <v>-13.3234098923594</v>
      </c>
    </row>
    <row r="24" spans="1:13">
      <c r="A24">
        <v>238.535995</v>
      </c>
      <c r="B24">
        <v>103023</v>
      </c>
      <c r="C24">
        <v>-11589389</v>
      </c>
      <c r="D24">
        <v>998476</v>
      </c>
      <c r="E24">
        <v>-1010813</v>
      </c>
      <c r="F24" s="4">
        <f t="shared" si="0"/>
        <v>1.57200622558594</v>
      </c>
      <c r="G24" s="4">
        <f t="shared" si="1"/>
        <v>-176.840042114258</v>
      </c>
      <c r="H24" s="4">
        <f t="shared" si="2"/>
        <v>15.2355346679687</v>
      </c>
      <c r="I24" s="4">
        <f t="shared" si="3"/>
        <v>-15.4237823486328</v>
      </c>
      <c r="J24" s="4">
        <f t="shared" si="4"/>
        <v>1.57403872758992</v>
      </c>
      <c r="K24" s="4">
        <f t="shared" si="5"/>
        <v>-174.693218159258</v>
      </c>
      <c r="L24" s="4">
        <f t="shared" si="6"/>
        <v>15.2375671699727</v>
      </c>
      <c r="M24" s="4">
        <f t="shared" si="7"/>
        <v>-13.2769583936328</v>
      </c>
    </row>
    <row r="25" spans="1:13">
      <c r="A25">
        <v>248.150681</v>
      </c>
      <c r="B25">
        <v>101416</v>
      </c>
      <c r="C25">
        <v>-11582399</v>
      </c>
      <c r="D25">
        <v>1004183</v>
      </c>
      <c r="E25">
        <v>-1059457</v>
      </c>
      <c r="F25" s="4">
        <f t="shared" si="0"/>
        <v>1.5474853515625</v>
      </c>
      <c r="G25" s="4">
        <f t="shared" si="1"/>
        <v>-176.733383178711</v>
      </c>
      <c r="H25" s="4">
        <f t="shared" si="2"/>
        <v>15.3226165771484</v>
      </c>
      <c r="I25" s="4">
        <f t="shared" si="3"/>
        <v>-16.1660308837891</v>
      </c>
      <c r="J25" s="4">
        <f t="shared" si="4"/>
        <v>1.54968501254025</v>
      </c>
      <c r="K25" s="4">
        <f t="shared" si="5"/>
        <v>-174.500027049711</v>
      </c>
      <c r="L25" s="4">
        <f t="shared" si="6"/>
        <v>15.3248162381262</v>
      </c>
      <c r="M25" s="4">
        <f t="shared" si="7"/>
        <v>-13.9326747547891</v>
      </c>
    </row>
    <row r="26" spans="1:13">
      <c r="A26">
        <v>258.152893</v>
      </c>
      <c r="B26">
        <v>103448</v>
      </c>
      <c r="C26">
        <v>-11577930</v>
      </c>
      <c r="D26">
        <v>993847</v>
      </c>
      <c r="E26">
        <v>-1058311</v>
      </c>
      <c r="F26" s="4">
        <f t="shared" si="0"/>
        <v>1.5784912109375</v>
      </c>
      <c r="G26" s="4">
        <f t="shared" si="1"/>
        <v>-176.665191650391</v>
      </c>
      <c r="H26" s="4">
        <f t="shared" si="2"/>
        <v>15.1649017333984</v>
      </c>
      <c r="I26" s="4">
        <f t="shared" si="3"/>
        <v>-16.1485443115234</v>
      </c>
      <c r="J26" s="4">
        <f t="shared" si="4"/>
        <v>1.58087177903674</v>
      </c>
      <c r="K26" s="4">
        <f t="shared" si="5"/>
        <v>-174.341815613391</v>
      </c>
      <c r="L26" s="4">
        <f t="shared" si="6"/>
        <v>15.1672823014977</v>
      </c>
      <c r="M26" s="4">
        <f t="shared" si="7"/>
        <v>-13.8251682745234</v>
      </c>
    </row>
    <row r="27" spans="1:13">
      <c r="A27">
        <v>268.558289</v>
      </c>
      <c r="B27">
        <v>103613</v>
      </c>
      <c r="C27">
        <v>-11561257</v>
      </c>
      <c r="D27">
        <v>988939</v>
      </c>
      <c r="E27">
        <v>-1130790</v>
      </c>
      <c r="F27" s="4">
        <f t="shared" si="0"/>
        <v>1.58100891113281</v>
      </c>
      <c r="G27" s="4">
        <f t="shared" si="1"/>
        <v>-176.410781860352</v>
      </c>
      <c r="H27" s="4">
        <f t="shared" si="2"/>
        <v>15.0900115966797</v>
      </c>
      <c r="I27" s="4">
        <f t="shared" si="3"/>
        <v>-17.2544860839844</v>
      </c>
      <c r="J27" s="4">
        <f t="shared" si="4"/>
        <v>1.58358526608861</v>
      </c>
      <c r="K27" s="4">
        <f t="shared" si="5"/>
        <v>-173.993757259352</v>
      </c>
      <c r="L27" s="4">
        <f t="shared" si="6"/>
        <v>15.0925879516355</v>
      </c>
      <c r="M27" s="4">
        <f t="shared" si="7"/>
        <v>-14.8374614829844</v>
      </c>
    </row>
    <row r="28" spans="1:13">
      <c r="A28">
        <v>279.383087</v>
      </c>
      <c r="B28">
        <v>100269</v>
      </c>
      <c r="C28">
        <v>-11547620</v>
      </c>
      <c r="D28">
        <v>1000188</v>
      </c>
      <c r="E28">
        <v>-1230886</v>
      </c>
      <c r="F28" s="4">
        <f t="shared" si="0"/>
        <v>1.52998352050781</v>
      </c>
      <c r="G28" s="4">
        <f t="shared" si="1"/>
        <v>-176.202697753906</v>
      </c>
      <c r="H28" s="4">
        <f t="shared" si="2"/>
        <v>15.2616577148437</v>
      </c>
      <c r="I28" s="4">
        <f t="shared" si="3"/>
        <v>-18.7818298339844</v>
      </c>
      <c r="J28" s="4">
        <f t="shared" si="4"/>
        <v>1.53277176541252</v>
      </c>
      <c r="K28" s="4">
        <f t="shared" si="5"/>
        <v>-173.688249970906</v>
      </c>
      <c r="L28" s="4">
        <f t="shared" si="6"/>
        <v>15.2644459597485</v>
      </c>
      <c r="M28" s="4">
        <f t="shared" si="7"/>
        <v>-16.2673820509844</v>
      </c>
    </row>
    <row r="29" spans="1:13">
      <c r="A29">
        <v>290.644196</v>
      </c>
      <c r="B29">
        <v>103214</v>
      </c>
      <c r="C29">
        <v>-11536562</v>
      </c>
      <c r="D29">
        <v>984101</v>
      </c>
      <c r="E29">
        <v>-1243605</v>
      </c>
      <c r="F29" s="4">
        <f t="shared" si="0"/>
        <v>1.57492065429687</v>
      </c>
      <c r="G29" s="4">
        <f t="shared" si="1"/>
        <v>-176.033966064453</v>
      </c>
      <c r="H29" s="4">
        <f t="shared" si="2"/>
        <v>15.0161895751953</v>
      </c>
      <c r="I29" s="4">
        <f t="shared" si="3"/>
        <v>-18.9759063720703</v>
      </c>
      <c r="J29" s="4">
        <f t="shared" si="4"/>
        <v>1.57793821695418</v>
      </c>
      <c r="K29" s="4">
        <f t="shared" si="5"/>
        <v>-173.418168300453</v>
      </c>
      <c r="L29" s="4">
        <f t="shared" si="6"/>
        <v>15.0192071378526</v>
      </c>
      <c r="M29" s="4">
        <f t="shared" si="7"/>
        <v>-16.3601086080703</v>
      </c>
    </row>
    <row r="30" spans="1:13">
      <c r="A30">
        <v>302.359192</v>
      </c>
      <c r="B30">
        <v>101841</v>
      </c>
      <c r="C30">
        <v>-11527338</v>
      </c>
      <c r="D30">
        <v>987411</v>
      </c>
      <c r="E30">
        <v>-1300557</v>
      </c>
      <c r="F30" s="4">
        <f t="shared" si="0"/>
        <v>1.55397033691406</v>
      </c>
      <c r="G30" s="4">
        <f t="shared" si="1"/>
        <v>-175.893218994141</v>
      </c>
      <c r="H30" s="4">
        <f t="shared" si="2"/>
        <v>15.0666961669922</v>
      </c>
      <c r="I30" s="4">
        <f t="shared" si="3"/>
        <v>-19.8449249267578</v>
      </c>
      <c r="J30" s="4">
        <f t="shared" si="4"/>
        <v>1.5572360785351</v>
      </c>
      <c r="K30" s="4">
        <f t="shared" si="5"/>
        <v>-173.171986266141</v>
      </c>
      <c r="L30" s="4">
        <f t="shared" si="6"/>
        <v>15.0699619086132</v>
      </c>
      <c r="M30" s="4">
        <f t="shared" si="7"/>
        <v>-17.1236921987578</v>
      </c>
    </row>
    <row r="31" spans="1:13">
      <c r="A31">
        <v>314.546387</v>
      </c>
      <c r="B31">
        <v>101459</v>
      </c>
      <c r="C31">
        <v>-11523900</v>
      </c>
      <c r="D31">
        <v>988079</v>
      </c>
      <c r="E31">
        <v>-1320439</v>
      </c>
      <c r="F31" s="4">
        <f t="shared" si="0"/>
        <v>1.54814147949219</v>
      </c>
      <c r="G31" s="4">
        <f t="shared" si="1"/>
        <v>-175.840759277344</v>
      </c>
      <c r="H31" s="4">
        <f t="shared" si="2"/>
        <v>15.0768890380859</v>
      </c>
      <c r="I31" s="4">
        <f t="shared" si="3"/>
        <v>-20.1483001708984</v>
      </c>
      <c r="J31" s="4">
        <f t="shared" si="4"/>
        <v>1.55167581323739</v>
      </c>
      <c r="K31" s="4">
        <f t="shared" si="5"/>
        <v>-173.009841794344</v>
      </c>
      <c r="L31" s="4">
        <f t="shared" si="6"/>
        <v>15.0804233718311</v>
      </c>
      <c r="M31" s="4">
        <f t="shared" si="7"/>
        <v>-17.3173826878984</v>
      </c>
    </row>
    <row r="32" spans="1:13">
      <c r="A32">
        <v>327.224823</v>
      </c>
      <c r="B32">
        <v>101642</v>
      </c>
      <c r="C32">
        <v>-11507571</v>
      </c>
      <c r="D32">
        <v>982399</v>
      </c>
      <c r="E32">
        <v>-1387876</v>
      </c>
      <c r="F32" s="4">
        <f t="shared" si="0"/>
        <v>1.55093383789062</v>
      </c>
      <c r="G32" s="4">
        <f t="shared" si="1"/>
        <v>-175.591598510742</v>
      </c>
      <c r="H32" s="4">
        <f t="shared" si="2"/>
        <v>14.9902191162109</v>
      </c>
      <c r="I32" s="4">
        <f t="shared" si="3"/>
        <v>-21.1773071289063</v>
      </c>
      <c r="J32" s="4">
        <f t="shared" si="4"/>
        <v>1.55475885643574</v>
      </c>
      <c r="K32" s="4">
        <f t="shared" si="5"/>
        <v>-172.646575103742</v>
      </c>
      <c r="L32" s="4">
        <f t="shared" si="6"/>
        <v>14.9940441347561</v>
      </c>
      <c r="M32" s="4">
        <f t="shared" si="7"/>
        <v>-18.2322837219062</v>
      </c>
    </row>
    <row r="33" spans="1:13">
      <c r="A33">
        <v>340.414276</v>
      </c>
      <c r="B33">
        <v>100764</v>
      </c>
      <c r="C33">
        <v>-11502128</v>
      </c>
      <c r="D33">
        <v>984345</v>
      </c>
      <c r="E33">
        <v>-1422827</v>
      </c>
      <c r="F33" s="4">
        <f t="shared" si="0"/>
        <v>1.53753662109375</v>
      </c>
      <c r="G33" s="4">
        <f t="shared" si="1"/>
        <v>-175.508544921875</v>
      </c>
      <c r="H33" s="4">
        <f t="shared" si="2"/>
        <v>15.0199127197266</v>
      </c>
      <c r="I33" s="4">
        <f t="shared" si="3"/>
        <v>-21.7106170654297</v>
      </c>
      <c r="J33" s="4">
        <f t="shared" si="4"/>
        <v>1.54167623405525</v>
      </c>
      <c r="K33" s="4">
        <f t="shared" si="5"/>
        <v>-172.444816437875</v>
      </c>
      <c r="L33" s="4">
        <f t="shared" si="6"/>
        <v>15.0240523326881</v>
      </c>
      <c r="M33" s="4">
        <f t="shared" si="7"/>
        <v>-18.6468885814297</v>
      </c>
    </row>
    <row r="34" spans="1:13">
      <c r="A34">
        <v>354.135376</v>
      </c>
      <c r="B34">
        <v>100391</v>
      </c>
      <c r="C34">
        <v>-11485626</v>
      </c>
      <c r="D34">
        <v>980644</v>
      </c>
      <c r="E34">
        <v>-1497483</v>
      </c>
      <c r="F34" s="4">
        <f t="shared" si="0"/>
        <v>1.53184509277344</v>
      </c>
      <c r="G34" s="4">
        <f t="shared" si="1"/>
        <v>-175.256744384766</v>
      </c>
      <c r="H34" s="4">
        <f t="shared" si="2"/>
        <v>14.9634399414062</v>
      </c>
      <c r="I34" s="4">
        <f t="shared" si="3"/>
        <v>-22.8497772216797</v>
      </c>
      <c r="J34" s="4">
        <f t="shared" si="4"/>
        <v>1.53632517760999</v>
      </c>
      <c r="K34" s="4">
        <f t="shared" si="5"/>
        <v>-172.069526000766</v>
      </c>
      <c r="L34" s="4">
        <f t="shared" si="6"/>
        <v>14.9679200262428</v>
      </c>
      <c r="M34" s="4">
        <f t="shared" si="7"/>
        <v>-19.6625588376797</v>
      </c>
    </row>
    <row r="35" spans="1:13">
      <c r="A35">
        <v>368.409515</v>
      </c>
      <c r="B35">
        <v>97360</v>
      </c>
      <c r="C35">
        <v>-11476402</v>
      </c>
      <c r="D35">
        <v>990129</v>
      </c>
      <c r="E35">
        <v>-1580848</v>
      </c>
      <c r="F35" s="4">
        <f t="shared" si="0"/>
        <v>1.485595703125</v>
      </c>
      <c r="G35" s="4">
        <f t="shared" si="1"/>
        <v>-175.115997314453</v>
      </c>
      <c r="H35" s="4">
        <f t="shared" si="2"/>
        <v>15.1081695556641</v>
      </c>
      <c r="I35" s="4">
        <f t="shared" si="3"/>
        <v>-24.121826171875</v>
      </c>
      <c r="J35" s="4">
        <f t="shared" si="4"/>
        <v>1.4904442653663</v>
      </c>
      <c r="K35" s="4">
        <f t="shared" si="5"/>
        <v>-171.800311679453</v>
      </c>
      <c r="L35" s="4">
        <f t="shared" si="6"/>
        <v>15.1130181179054</v>
      </c>
      <c r="M35" s="4">
        <f t="shared" si="7"/>
        <v>-20.806140536875</v>
      </c>
    </row>
    <row r="36" spans="1:13">
      <c r="A36">
        <v>383.259003</v>
      </c>
      <c r="B36">
        <v>97186</v>
      </c>
      <c r="C36">
        <v>-11473079</v>
      </c>
      <c r="D36">
        <v>989660</v>
      </c>
      <c r="E36">
        <v>-1597464</v>
      </c>
      <c r="F36" s="4">
        <f t="shared" si="0"/>
        <v>1.48294067382812</v>
      </c>
      <c r="G36" s="4">
        <f t="shared" si="1"/>
        <v>-175.065292358398</v>
      </c>
      <c r="H36" s="4">
        <f t="shared" si="2"/>
        <v>15.1010131835937</v>
      </c>
      <c r="I36" s="4">
        <f t="shared" si="3"/>
        <v>-24.3753662109375</v>
      </c>
      <c r="J36" s="4">
        <f t="shared" si="4"/>
        <v>1.48818802364639</v>
      </c>
      <c r="K36" s="4">
        <f t="shared" si="5"/>
        <v>-171.615961331398</v>
      </c>
      <c r="L36" s="4">
        <f t="shared" si="6"/>
        <v>15.106260533412</v>
      </c>
      <c r="M36" s="4">
        <f t="shared" si="7"/>
        <v>-20.9260351839375</v>
      </c>
    </row>
    <row r="37" spans="1:13">
      <c r="A37">
        <v>398.707031</v>
      </c>
      <c r="B37">
        <v>94571</v>
      </c>
      <c r="C37">
        <v>-11455260</v>
      </c>
      <c r="D37">
        <v>993995</v>
      </c>
      <c r="E37">
        <v>-1713774</v>
      </c>
      <c r="F37" s="4">
        <f t="shared" si="0"/>
        <v>1.44303894042969</v>
      </c>
      <c r="G37" s="4">
        <f t="shared" si="1"/>
        <v>-174.793395996094</v>
      </c>
      <c r="H37" s="4">
        <f t="shared" si="2"/>
        <v>15.1671600341797</v>
      </c>
      <c r="I37" s="4">
        <f t="shared" si="3"/>
        <v>-26.1501159667969</v>
      </c>
      <c r="J37" s="4">
        <f t="shared" si="4"/>
        <v>1.44871788188667</v>
      </c>
      <c r="K37" s="4">
        <f t="shared" si="5"/>
        <v>-171.205032717094</v>
      </c>
      <c r="L37" s="4">
        <f t="shared" si="6"/>
        <v>15.1728389756367</v>
      </c>
      <c r="M37" s="4">
        <f t="shared" si="7"/>
        <v>-22.5617526877969</v>
      </c>
    </row>
    <row r="38" spans="1:13">
      <c r="A38">
        <v>414.77774</v>
      </c>
      <c r="B38">
        <v>93277</v>
      </c>
      <c r="C38">
        <v>-11446780</v>
      </c>
      <c r="D38">
        <v>996044</v>
      </c>
      <c r="E38">
        <v>-1770726</v>
      </c>
      <c r="F38" s="4">
        <f t="shared" si="0"/>
        <v>1.42329406738281</v>
      </c>
      <c r="G38" s="4">
        <f t="shared" si="1"/>
        <v>-174.664001464844</v>
      </c>
      <c r="H38" s="4">
        <f t="shared" si="2"/>
        <v>15.1984252929687</v>
      </c>
      <c r="I38" s="4">
        <f t="shared" si="3"/>
        <v>-27.0191345214844</v>
      </c>
      <c r="J38" s="4">
        <f t="shared" si="4"/>
        <v>1.429440104184</v>
      </c>
      <c r="K38" s="4">
        <f t="shared" si="5"/>
        <v>-170.931001804844</v>
      </c>
      <c r="L38" s="4">
        <f t="shared" si="6"/>
        <v>15.2045713297699</v>
      </c>
      <c r="M38" s="4">
        <f t="shared" si="7"/>
        <v>-23.2861348614844</v>
      </c>
    </row>
    <row r="39" spans="1:13">
      <c r="A39">
        <v>431.496216</v>
      </c>
      <c r="B39">
        <v>91497</v>
      </c>
      <c r="C39">
        <v>-11432055</v>
      </c>
      <c r="D39">
        <v>997365</v>
      </c>
      <c r="E39">
        <v>-1862743</v>
      </c>
      <c r="F39" s="4">
        <f t="shared" si="0"/>
        <v>1.39613342285156</v>
      </c>
      <c r="G39" s="4">
        <f t="shared" si="1"/>
        <v>-174.439315795898</v>
      </c>
      <c r="H39" s="4">
        <f t="shared" si="2"/>
        <v>15.2185821533203</v>
      </c>
      <c r="I39" s="4">
        <f t="shared" si="3"/>
        <v>-28.4232025146484</v>
      </c>
      <c r="J39" s="4">
        <f t="shared" si="4"/>
        <v>1.40278497979497</v>
      </c>
      <c r="K39" s="4">
        <f t="shared" si="5"/>
        <v>-170.555849851898</v>
      </c>
      <c r="L39" s="4">
        <f t="shared" si="6"/>
        <v>15.2252337102637</v>
      </c>
      <c r="M39" s="4">
        <f t="shared" si="7"/>
        <v>-24.5397365706484</v>
      </c>
    </row>
    <row r="40" spans="1:13">
      <c r="A40">
        <v>448.88855</v>
      </c>
      <c r="B40">
        <v>90706</v>
      </c>
      <c r="C40">
        <v>-11417215</v>
      </c>
      <c r="D40">
        <v>994290</v>
      </c>
      <c r="E40">
        <v>-1936770</v>
      </c>
      <c r="F40" s="4">
        <f t="shared" si="0"/>
        <v>1.38406372070312</v>
      </c>
      <c r="G40" s="4">
        <f t="shared" si="1"/>
        <v>-174.212875366211</v>
      </c>
      <c r="H40" s="4">
        <f t="shared" si="2"/>
        <v>15.1716613769531</v>
      </c>
      <c r="I40" s="4">
        <f t="shared" si="3"/>
        <v>-29.5527648925781</v>
      </c>
      <c r="J40" s="4">
        <f t="shared" si="4"/>
        <v>1.39126238394901</v>
      </c>
      <c r="K40" s="4">
        <f t="shared" si="5"/>
        <v>-170.172878416211</v>
      </c>
      <c r="L40" s="4">
        <f t="shared" si="6"/>
        <v>15.178860040199</v>
      </c>
      <c r="M40" s="4">
        <f t="shared" si="7"/>
        <v>-25.5127679425781</v>
      </c>
    </row>
    <row r="41" spans="1:13">
      <c r="A41">
        <v>466.981934</v>
      </c>
      <c r="B41">
        <v>88865</v>
      </c>
      <c r="C41">
        <v>-11411829</v>
      </c>
      <c r="D41">
        <v>999284</v>
      </c>
      <c r="E41">
        <v>-1993664</v>
      </c>
      <c r="F41" s="4">
        <f t="shared" si="0"/>
        <v>1.35597229003906</v>
      </c>
      <c r="G41" s="4">
        <f t="shared" si="1"/>
        <v>-174.13069152832</v>
      </c>
      <c r="H41" s="4">
        <f t="shared" si="2"/>
        <v>15.2478637695312</v>
      </c>
      <c r="I41" s="4">
        <f t="shared" si="3"/>
        <v>-30.4208984375</v>
      </c>
      <c r="J41" s="4">
        <f t="shared" si="4"/>
        <v>1.36376306900428</v>
      </c>
      <c r="K41" s="4">
        <f t="shared" si="5"/>
        <v>-169.92785412232</v>
      </c>
      <c r="L41" s="4">
        <f t="shared" si="6"/>
        <v>15.2556545484965</v>
      </c>
      <c r="M41" s="4">
        <f t="shared" si="7"/>
        <v>-26.2180610315</v>
      </c>
    </row>
    <row r="42" spans="1:13">
      <c r="A42">
        <v>485.804596</v>
      </c>
      <c r="B42">
        <v>89447</v>
      </c>
      <c r="C42">
        <v>-11391318</v>
      </c>
      <c r="D42">
        <v>987845</v>
      </c>
      <c r="E42">
        <v>-2062133</v>
      </c>
      <c r="F42" s="4">
        <f t="shared" si="0"/>
        <v>1.36485290527344</v>
      </c>
      <c r="G42" s="4">
        <f t="shared" si="1"/>
        <v>-173.817718505859</v>
      </c>
      <c r="H42" s="4">
        <f t="shared" si="2"/>
        <v>15.0733184814453</v>
      </c>
      <c r="I42" s="4">
        <f t="shared" si="3"/>
        <v>-31.4656524658203</v>
      </c>
      <c r="J42" s="4">
        <f t="shared" si="4"/>
        <v>1.37328451258318</v>
      </c>
      <c r="K42" s="4">
        <f t="shared" si="5"/>
        <v>-169.445477141859</v>
      </c>
      <c r="L42" s="4">
        <f t="shared" si="6"/>
        <v>15.0817500887551</v>
      </c>
      <c r="M42" s="4">
        <f t="shared" si="7"/>
        <v>-27.0934111018203</v>
      </c>
    </row>
    <row r="43" spans="1:13">
      <c r="A43">
        <v>505.385956</v>
      </c>
      <c r="B43">
        <v>88014</v>
      </c>
      <c r="C43">
        <v>-11389942</v>
      </c>
      <c r="D43">
        <v>992718</v>
      </c>
      <c r="E43">
        <v>-2095823</v>
      </c>
      <c r="F43" s="4">
        <f t="shared" si="0"/>
        <v>1.34298706054687</v>
      </c>
      <c r="G43" s="4">
        <f t="shared" si="1"/>
        <v>-173.796722412109</v>
      </c>
      <c r="H43" s="4">
        <f t="shared" si="2"/>
        <v>15.1476745605469</v>
      </c>
      <c r="I43" s="4">
        <f t="shared" si="3"/>
        <v>-31.9797210693359</v>
      </c>
      <c r="J43" s="4">
        <f t="shared" si="4"/>
        <v>1.35211221887592</v>
      </c>
      <c r="K43" s="4">
        <f t="shared" si="5"/>
        <v>-169.248248808109</v>
      </c>
      <c r="L43" s="4">
        <f t="shared" si="6"/>
        <v>15.1567997188759</v>
      </c>
      <c r="M43" s="4">
        <f t="shared" si="7"/>
        <v>-27.4312474653359</v>
      </c>
    </row>
    <row r="44" spans="1:13">
      <c r="A44">
        <v>525.756531</v>
      </c>
      <c r="B44">
        <v>82715</v>
      </c>
      <c r="C44">
        <v>-11364560</v>
      </c>
      <c r="D44">
        <v>1000613</v>
      </c>
      <c r="E44">
        <v>-2303864</v>
      </c>
      <c r="F44" s="4">
        <f t="shared" si="0"/>
        <v>1.26213073730469</v>
      </c>
      <c r="G44" s="4">
        <f t="shared" si="1"/>
        <v>-173.409423828125</v>
      </c>
      <c r="H44" s="4">
        <f t="shared" si="2"/>
        <v>15.2681427001953</v>
      </c>
      <c r="I44" s="4">
        <f t="shared" si="3"/>
        <v>-35.1541748046875</v>
      </c>
      <c r="J44" s="4">
        <f t="shared" si="4"/>
        <v>1.27200650646222</v>
      </c>
      <c r="K44" s="4">
        <f t="shared" si="5"/>
        <v>-168.677615049125</v>
      </c>
      <c r="L44" s="4">
        <f t="shared" si="6"/>
        <v>15.2780184693528</v>
      </c>
      <c r="M44" s="4">
        <f t="shared" si="7"/>
        <v>-30.4223660256875</v>
      </c>
    </row>
    <row r="45" spans="1:13">
      <c r="A45">
        <v>546.948242</v>
      </c>
      <c r="B45">
        <v>79823</v>
      </c>
      <c r="C45">
        <v>-11354534</v>
      </c>
      <c r="D45">
        <v>1006155</v>
      </c>
      <c r="E45">
        <v>-2406423</v>
      </c>
      <c r="F45" s="4">
        <f t="shared" si="0"/>
        <v>1.21800231933594</v>
      </c>
      <c r="G45" s="4">
        <f t="shared" si="1"/>
        <v>-173.256439208984</v>
      </c>
      <c r="H45" s="4">
        <f t="shared" si="2"/>
        <v>15.3527069091797</v>
      </c>
      <c r="I45" s="4">
        <f t="shared" si="3"/>
        <v>-36.7191009521484</v>
      </c>
      <c r="J45" s="4">
        <f t="shared" si="4"/>
        <v>1.22869046008381</v>
      </c>
      <c r="K45" s="4">
        <f t="shared" si="5"/>
        <v>-168.333905030984</v>
      </c>
      <c r="L45" s="4">
        <f t="shared" si="6"/>
        <v>15.3633950499276</v>
      </c>
      <c r="M45" s="4">
        <f t="shared" si="7"/>
        <v>-31.7965667741484</v>
      </c>
    </row>
    <row r="46" spans="1:13">
      <c r="A46">
        <v>568.99408</v>
      </c>
      <c r="B46">
        <v>78398</v>
      </c>
      <c r="C46">
        <v>-11337173</v>
      </c>
      <c r="D46">
        <v>1001977</v>
      </c>
      <c r="E46">
        <v>-2502508</v>
      </c>
      <c r="F46" s="4">
        <f t="shared" si="0"/>
        <v>1.19625854492187</v>
      </c>
      <c r="G46" s="4">
        <f t="shared" si="1"/>
        <v>-172.99153137207</v>
      </c>
      <c r="H46" s="4">
        <f t="shared" si="2"/>
        <v>15.2889556884766</v>
      </c>
      <c r="I46" s="4">
        <f t="shared" si="3"/>
        <v>-38.1852416992188</v>
      </c>
      <c r="J46" s="4">
        <f t="shared" si="4"/>
        <v>1.20782589800929</v>
      </c>
      <c r="K46" s="4">
        <f t="shared" si="5"/>
        <v>-167.87058465207</v>
      </c>
      <c r="L46" s="4">
        <f t="shared" si="6"/>
        <v>15.300523041564</v>
      </c>
      <c r="M46" s="4">
        <f t="shared" si="7"/>
        <v>-33.0642949792188</v>
      </c>
    </row>
    <row r="47" spans="1:13">
      <c r="A47">
        <v>591.928528</v>
      </c>
      <c r="B47">
        <v>76722</v>
      </c>
      <c r="C47">
        <v>-11329610</v>
      </c>
      <c r="D47">
        <v>1003766</v>
      </c>
      <c r="E47">
        <v>-2569659</v>
      </c>
      <c r="F47" s="4">
        <f t="shared" si="0"/>
        <v>1.17068481445312</v>
      </c>
      <c r="G47" s="4">
        <f t="shared" si="1"/>
        <v>-172.876129150391</v>
      </c>
      <c r="H47" s="4">
        <f t="shared" si="2"/>
        <v>15.3162536621094</v>
      </c>
      <c r="I47" s="4">
        <f t="shared" si="3"/>
        <v>-39.2098846435547</v>
      </c>
      <c r="J47" s="4">
        <f t="shared" si="4"/>
        <v>1.18320372559803</v>
      </c>
      <c r="K47" s="4">
        <f t="shared" si="5"/>
        <v>-167.548772398391</v>
      </c>
      <c r="L47" s="4">
        <f t="shared" si="6"/>
        <v>15.3287725732543</v>
      </c>
      <c r="M47" s="4">
        <f t="shared" si="7"/>
        <v>-33.8825278915547</v>
      </c>
    </row>
    <row r="48" spans="1:13">
      <c r="A48">
        <v>615.787415</v>
      </c>
      <c r="B48">
        <v>72023</v>
      </c>
      <c r="C48">
        <v>-11320271</v>
      </c>
      <c r="D48">
        <v>1014754</v>
      </c>
      <c r="E48">
        <v>-2720805</v>
      </c>
      <c r="F48" s="4">
        <f t="shared" si="0"/>
        <v>1.09898376464844</v>
      </c>
      <c r="G48" s="4">
        <f t="shared" si="1"/>
        <v>-172.733627319336</v>
      </c>
      <c r="H48" s="4">
        <f t="shared" si="2"/>
        <v>15.4839172363281</v>
      </c>
      <c r="I48" s="4">
        <f t="shared" si="3"/>
        <v>-41.5161895751953</v>
      </c>
      <c r="J48" s="4">
        <f t="shared" si="4"/>
        <v>1.1125325366088</v>
      </c>
      <c r="K48" s="4">
        <f t="shared" si="5"/>
        <v>-167.191540584336</v>
      </c>
      <c r="L48" s="4">
        <f t="shared" si="6"/>
        <v>15.4974660082885</v>
      </c>
      <c r="M48" s="4">
        <f t="shared" si="7"/>
        <v>-35.9741028401953</v>
      </c>
    </row>
    <row r="49" spans="1:13">
      <c r="A49">
        <v>640.607971</v>
      </c>
      <c r="B49">
        <v>70416</v>
      </c>
      <c r="C49">
        <v>-11313625</v>
      </c>
      <c r="D49">
        <v>1016265</v>
      </c>
      <c r="E49">
        <v>-2785320</v>
      </c>
      <c r="F49" s="4">
        <f t="shared" si="0"/>
        <v>1.074462890625</v>
      </c>
      <c r="G49" s="4">
        <f t="shared" si="1"/>
        <v>-172.632217407227</v>
      </c>
      <c r="H49" s="4">
        <f t="shared" si="2"/>
        <v>15.5069732666016</v>
      </c>
      <c r="I49" s="4">
        <f t="shared" si="3"/>
        <v>-42.5006103515625</v>
      </c>
      <c r="J49" s="4">
        <f t="shared" si="4"/>
        <v>1.08912627236528</v>
      </c>
      <c r="K49" s="4">
        <f t="shared" si="5"/>
        <v>-166.866745668227</v>
      </c>
      <c r="L49" s="4">
        <f t="shared" si="6"/>
        <v>15.5216366483418</v>
      </c>
      <c r="M49" s="4">
        <f t="shared" si="7"/>
        <v>-36.7351386125625</v>
      </c>
    </row>
    <row r="50" spans="1:13">
      <c r="A50">
        <v>666.428955</v>
      </c>
      <c r="B50">
        <v>66811</v>
      </c>
      <c r="C50">
        <v>-11285435</v>
      </c>
      <c r="D50">
        <v>1010428</v>
      </c>
      <c r="E50">
        <v>-2975771</v>
      </c>
      <c r="F50" s="4">
        <f t="shared" si="0"/>
        <v>1.01945495605469</v>
      </c>
      <c r="G50" s="4">
        <f t="shared" si="1"/>
        <v>-172.202072143555</v>
      </c>
      <c r="H50" s="4">
        <f t="shared" si="2"/>
        <v>15.4179077148437</v>
      </c>
      <c r="I50" s="4">
        <f t="shared" si="3"/>
        <v>-45.4066619873047</v>
      </c>
      <c r="J50" s="4">
        <f t="shared" si="4"/>
        <v>1.03532467543693</v>
      </c>
      <c r="K50" s="4">
        <f t="shared" si="5"/>
        <v>-166.204211548555</v>
      </c>
      <c r="L50" s="4">
        <f t="shared" si="6"/>
        <v>15.433777434226</v>
      </c>
      <c r="M50" s="4">
        <f t="shared" si="7"/>
        <v>-39.4088013923047</v>
      </c>
    </row>
    <row r="51" spans="1:13">
      <c r="A51">
        <v>693.29071</v>
      </c>
      <c r="B51">
        <v>68522</v>
      </c>
      <c r="C51">
        <v>-11267387</v>
      </c>
      <c r="D51">
        <v>993821</v>
      </c>
      <c r="E51">
        <v>-2984480</v>
      </c>
      <c r="F51" s="4">
        <f t="shared" si="0"/>
        <v>1.04556274414062</v>
      </c>
      <c r="G51" s="4">
        <f t="shared" si="1"/>
        <v>-171.926681518555</v>
      </c>
      <c r="H51" s="4">
        <f t="shared" si="2"/>
        <v>15.1645050048828</v>
      </c>
      <c r="I51" s="4">
        <f t="shared" si="3"/>
        <v>-45.53955078125</v>
      </c>
      <c r="J51" s="4">
        <f t="shared" si="4"/>
        <v>1.06273808453641</v>
      </c>
      <c r="K51" s="4">
        <f t="shared" si="5"/>
        <v>-165.687065128555</v>
      </c>
      <c r="L51" s="4">
        <f t="shared" si="6"/>
        <v>15.1816803452786</v>
      </c>
      <c r="M51" s="4">
        <f t="shared" si="7"/>
        <v>-39.29993439125</v>
      </c>
    </row>
    <row r="52" spans="1:13">
      <c r="A52">
        <v>721.235229</v>
      </c>
      <c r="B52">
        <v>60227</v>
      </c>
      <c r="C52">
        <v>-11252433</v>
      </c>
      <c r="D52">
        <v>1008196</v>
      </c>
      <c r="E52">
        <v>-3262766</v>
      </c>
      <c r="F52" s="4">
        <f t="shared" si="0"/>
        <v>0.918991088867187</v>
      </c>
      <c r="G52" s="4">
        <f t="shared" si="1"/>
        <v>-171.698501586914</v>
      </c>
      <c r="H52" s="4">
        <f t="shared" si="2"/>
        <v>15.3838500976562</v>
      </c>
      <c r="I52" s="4">
        <f t="shared" si="3"/>
        <v>-49.7858581542969</v>
      </c>
      <c r="J52" s="4">
        <f t="shared" si="4"/>
        <v>0.937579513750877</v>
      </c>
      <c r="K52" s="4">
        <f t="shared" si="5"/>
        <v>-165.207384525914</v>
      </c>
      <c r="L52" s="4">
        <f t="shared" si="6"/>
        <v>15.4024385225399</v>
      </c>
      <c r="M52" s="4">
        <f t="shared" si="7"/>
        <v>-43.2947410932969</v>
      </c>
    </row>
    <row r="53" spans="1:13">
      <c r="A53">
        <v>750.306091</v>
      </c>
      <c r="B53">
        <v>57222</v>
      </c>
      <c r="C53">
        <v>-11253521</v>
      </c>
      <c r="D53">
        <v>1017325</v>
      </c>
      <c r="E53">
        <v>-3350543</v>
      </c>
      <c r="F53" s="4">
        <f t="shared" si="0"/>
        <v>0.873138427734375</v>
      </c>
      <c r="G53" s="4">
        <f t="shared" si="1"/>
        <v>-171.715103149414</v>
      </c>
      <c r="H53" s="4">
        <f t="shared" si="2"/>
        <v>15.5231475830078</v>
      </c>
      <c r="I53" s="4">
        <f t="shared" si="3"/>
        <v>-51.1252288818359</v>
      </c>
      <c r="J53" s="4">
        <f t="shared" si="4"/>
        <v>0.893256250174079</v>
      </c>
      <c r="K53" s="4">
        <f t="shared" si="5"/>
        <v>-164.962348330414</v>
      </c>
      <c r="L53" s="4">
        <f t="shared" si="6"/>
        <v>15.5432654054475</v>
      </c>
      <c r="M53" s="4">
        <f t="shared" si="7"/>
        <v>-44.3724740628359</v>
      </c>
    </row>
    <row r="54" spans="1:13">
      <c r="A54">
        <v>780.548706</v>
      </c>
      <c r="B54">
        <v>52714</v>
      </c>
      <c r="C54">
        <v>-11231806</v>
      </c>
      <c r="D54">
        <v>1013581</v>
      </c>
      <c r="E54">
        <v>-3547984</v>
      </c>
      <c r="F54" s="4">
        <f t="shared" si="0"/>
        <v>0.804351806640625</v>
      </c>
      <c r="G54" s="4">
        <f t="shared" si="1"/>
        <v>-171.383758544922</v>
      </c>
      <c r="H54" s="4">
        <f t="shared" si="2"/>
        <v>15.4660186767578</v>
      </c>
      <c r="I54" s="4">
        <f t="shared" si="3"/>
        <v>-54.137939453125</v>
      </c>
      <c r="J54" s="4">
        <f t="shared" si="4"/>
        <v>0.826124923433166</v>
      </c>
      <c r="K54" s="4">
        <f t="shared" si="5"/>
        <v>-164.358820190922</v>
      </c>
      <c r="L54" s="4">
        <f t="shared" si="6"/>
        <v>15.4877917935504</v>
      </c>
      <c r="M54" s="4">
        <f t="shared" si="7"/>
        <v>-47.113001099125</v>
      </c>
    </row>
    <row r="55" spans="1:13">
      <c r="A55">
        <v>812.010315</v>
      </c>
      <c r="B55">
        <v>46530</v>
      </c>
      <c r="C55">
        <v>-11227509</v>
      </c>
      <c r="D55">
        <v>1024977</v>
      </c>
      <c r="E55">
        <v>-3760036</v>
      </c>
      <c r="F55" s="4">
        <f t="shared" si="0"/>
        <v>0.709991455078125</v>
      </c>
      <c r="G55" s="4">
        <f t="shared" si="1"/>
        <v>-171.31819152832</v>
      </c>
      <c r="H55" s="4">
        <f t="shared" si="2"/>
        <v>15.6399078369141</v>
      </c>
      <c r="I55" s="4">
        <f t="shared" si="3"/>
        <v>-57.3735961914063</v>
      </c>
      <c r="J55" s="4">
        <f t="shared" si="4"/>
        <v>0.733556138058449</v>
      </c>
      <c r="K55" s="4">
        <f t="shared" si="5"/>
        <v>-164.01009869332</v>
      </c>
      <c r="L55" s="4">
        <f t="shared" si="6"/>
        <v>15.6634725198944</v>
      </c>
      <c r="M55" s="4">
        <f t="shared" si="7"/>
        <v>-50.0655033564063</v>
      </c>
    </row>
    <row r="56" spans="1:13">
      <c r="A56">
        <v>844.740051</v>
      </c>
      <c r="B56">
        <v>44393</v>
      </c>
      <c r="C56">
        <v>-11209232</v>
      </c>
      <c r="D56">
        <v>1015501</v>
      </c>
      <c r="E56">
        <v>-3871533</v>
      </c>
      <c r="F56" s="4">
        <f t="shared" si="0"/>
        <v>0.677383422851562</v>
      </c>
      <c r="G56" s="4">
        <f t="shared" si="1"/>
        <v>-171.039306640625</v>
      </c>
      <c r="H56" s="4">
        <f t="shared" si="2"/>
        <v>15.4953155517578</v>
      </c>
      <c r="I56" s="4">
        <f t="shared" si="3"/>
        <v>-59.0749053955078</v>
      </c>
      <c r="J56" s="4">
        <f t="shared" si="4"/>
        <v>0.702887175040912</v>
      </c>
      <c r="K56" s="4">
        <f t="shared" si="5"/>
        <v>-163.436646181625</v>
      </c>
      <c r="L56" s="4">
        <f t="shared" si="6"/>
        <v>15.5208193039472</v>
      </c>
      <c r="M56" s="4">
        <f t="shared" si="7"/>
        <v>-51.4722449365078</v>
      </c>
    </row>
    <row r="57" spans="1:13">
      <c r="A57">
        <v>878.789001</v>
      </c>
      <c r="B57">
        <v>39320</v>
      </c>
      <c r="C57">
        <v>-11207799</v>
      </c>
      <c r="D57">
        <v>1024291</v>
      </c>
      <c r="E57">
        <v>-4048749</v>
      </c>
      <c r="F57" s="4">
        <f t="shared" si="0"/>
        <v>0.5999755859375</v>
      </c>
      <c r="G57" s="4">
        <f t="shared" si="1"/>
        <v>-171.017440795898</v>
      </c>
      <c r="H57" s="4">
        <f t="shared" si="2"/>
        <v>15.6294403076172</v>
      </c>
      <c r="I57" s="4">
        <f t="shared" si="3"/>
        <v>-61.7790069580078</v>
      </c>
      <c r="J57" s="4">
        <f t="shared" si="4"/>
        <v>0.627578067705838</v>
      </c>
      <c r="K57" s="4">
        <f t="shared" si="5"/>
        <v>-163.108339786898</v>
      </c>
      <c r="L57" s="4">
        <f t="shared" si="6"/>
        <v>15.6570427893855</v>
      </c>
      <c r="M57" s="4">
        <f t="shared" si="7"/>
        <v>-53.8699059490078</v>
      </c>
    </row>
    <row r="58" spans="1:13">
      <c r="A58">
        <v>914.210388</v>
      </c>
      <c r="B58">
        <v>32519</v>
      </c>
      <c r="C58">
        <v>-11192501</v>
      </c>
      <c r="D58">
        <v>1023057</v>
      </c>
      <c r="E58">
        <v>-4317524</v>
      </c>
      <c r="F58" s="4">
        <f t="shared" si="0"/>
        <v>0.496200561523437</v>
      </c>
      <c r="G58" s="4">
        <f t="shared" si="1"/>
        <v>-170.78401184082</v>
      </c>
      <c r="H58" s="4">
        <f t="shared" si="2"/>
        <v>15.6106109619141</v>
      </c>
      <c r="I58" s="4">
        <f t="shared" si="3"/>
        <v>-65.8801879882812</v>
      </c>
      <c r="J58" s="4">
        <f t="shared" si="4"/>
        <v>0.52607460012147</v>
      </c>
      <c r="K58" s="4">
        <f t="shared" si="5"/>
        <v>-162.55611834882</v>
      </c>
      <c r="L58" s="4">
        <f t="shared" si="6"/>
        <v>15.6404850005121</v>
      </c>
      <c r="M58" s="4">
        <f t="shared" si="7"/>
        <v>-57.6522944962813</v>
      </c>
    </row>
    <row r="59" spans="1:13">
      <c r="A59">
        <v>951.059509</v>
      </c>
      <c r="B59">
        <v>27612</v>
      </c>
      <c r="C59">
        <v>-11185167</v>
      </c>
      <c r="D59">
        <v>1023353</v>
      </c>
      <c r="E59">
        <v>-4507688</v>
      </c>
      <c r="F59" s="4">
        <f t="shared" si="0"/>
        <v>0.42132568359375</v>
      </c>
      <c r="G59" s="4">
        <f t="shared" si="1"/>
        <v>-170.672103881836</v>
      </c>
      <c r="H59" s="4">
        <f t="shared" si="2"/>
        <v>15.6151275634766</v>
      </c>
      <c r="I59" s="4">
        <f t="shared" si="3"/>
        <v>-68.7818603515625</v>
      </c>
      <c r="J59" s="4">
        <f t="shared" si="4"/>
        <v>0.453658357271175</v>
      </c>
      <c r="K59" s="4">
        <f t="shared" si="5"/>
        <v>-162.112568300836</v>
      </c>
      <c r="L59" s="4">
        <f t="shared" si="6"/>
        <v>15.647460237154</v>
      </c>
      <c r="M59" s="4">
        <f t="shared" si="7"/>
        <v>-60.2223247705625</v>
      </c>
    </row>
    <row r="60" spans="1:13">
      <c r="A60">
        <v>989.393921</v>
      </c>
      <c r="B60">
        <v>21584</v>
      </c>
      <c r="C60">
        <v>-11186027</v>
      </c>
      <c r="D60">
        <v>1030275</v>
      </c>
      <c r="E60">
        <v>-4734580</v>
      </c>
      <c r="F60" s="4">
        <f t="shared" si="0"/>
        <v>0.329345703125</v>
      </c>
      <c r="G60" s="4">
        <f t="shared" si="1"/>
        <v>-170.68522644043</v>
      </c>
      <c r="H60" s="4">
        <f t="shared" si="2"/>
        <v>15.7207489013672</v>
      </c>
      <c r="I60" s="4">
        <f t="shared" si="3"/>
        <v>-72.2439575195312</v>
      </c>
      <c r="J60" s="4">
        <f t="shared" si="4"/>
        <v>0.364339521891733</v>
      </c>
      <c r="K60" s="4">
        <f t="shared" si="5"/>
        <v>-161.78068115143</v>
      </c>
      <c r="L60" s="4">
        <f t="shared" si="6"/>
        <v>15.7557427201339</v>
      </c>
      <c r="M60" s="4">
        <f t="shared" si="7"/>
        <v>-63.3394122305313</v>
      </c>
    </row>
    <row r="61" spans="1:13">
      <c r="A61">
        <v>1029.27344</v>
      </c>
      <c r="B61">
        <v>14696</v>
      </c>
      <c r="C61">
        <v>-11184308</v>
      </c>
      <c r="D61">
        <v>1033281</v>
      </c>
      <c r="E61">
        <v>-5003469</v>
      </c>
      <c r="F61" s="4">
        <f t="shared" si="0"/>
        <v>0.2242431640625</v>
      </c>
      <c r="G61" s="4">
        <f t="shared" si="1"/>
        <v>-170.658996582031</v>
      </c>
      <c r="H61" s="4">
        <f t="shared" si="2"/>
        <v>15.7666168212891</v>
      </c>
      <c r="I61" s="4">
        <f t="shared" si="3"/>
        <v>-76.3468780517578</v>
      </c>
      <c r="J61" s="4">
        <f t="shared" si="4"/>
        <v>0.262117342274191</v>
      </c>
      <c r="K61" s="4">
        <f t="shared" si="5"/>
        <v>-161.395535622031</v>
      </c>
      <c r="L61" s="4">
        <f t="shared" si="6"/>
        <v>15.8044909995008</v>
      </c>
      <c r="M61" s="4">
        <f t="shared" si="7"/>
        <v>-67.0834170917578</v>
      </c>
    </row>
    <row r="62" spans="1:13">
      <c r="A62">
        <v>1070.76038</v>
      </c>
      <c r="B62">
        <v>8442</v>
      </c>
      <c r="C62">
        <v>-11170614</v>
      </c>
      <c r="D62">
        <v>1022423</v>
      </c>
      <c r="E62">
        <v>-5252419</v>
      </c>
      <c r="F62" s="4">
        <f t="shared" si="0"/>
        <v>0.128814697265625</v>
      </c>
      <c r="G62" s="4">
        <f t="shared" si="1"/>
        <v>-170.450042724609</v>
      </c>
      <c r="H62" s="4">
        <f t="shared" si="2"/>
        <v>15.6009368896484</v>
      </c>
      <c r="I62" s="4">
        <f t="shared" si="3"/>
        <v>-80.1455535888672</v>
      </c>
      <c r="J62" s="4">
        <f t="shared" si="4"/>
        <v>0.169806542843894</v>
      </c>
      <c r="K62" s="4">
        <f t="shared" si="5"/>
        <v>-160.813199304609</v>
      </c>
      <c r="L62" s="4">
        <f t="shared" si="6"/>
        <v>15.6419287352267</v>
      </c>
      <c r="M62" s="4">
        <f t="shared" si="7"/>
        <v>-70.5087101688672</v>
      </c>
    </row>
    <row r="63" spans="1:13">
      <c r="A63">
        <v>1113.91956</v>
      </c>
      <c r="B63">
        <v>2110</v>
      </c>
      <c r="C63">
        <v>-11178120</v>
      </c>
      <c r="D63">
        <v>1028226</v>
      </c>
      <c r="E63">
        <v>-5504234</v>
      </c>
      <c r="F63" s="4">
        <f t="shared" si="0"/>
        <v>0.032196044921875</v>
      </c>
      <c r="G63" s="4">
        <f t="shared" si="1"/>
        <v>-170.564575195312</v>
      </c>
      <c r="H63" s="4">
        <f t="shared" si="2"/>
        <v>15.6894836425781</v>
      </c>
      <c r="I63" s="4">
        <f t="shared" si="3"/>
        <v>-83.9879455566406</v>
      </c>
      <c r="J63" s="4">
        <f t="shared" si="4"/>
        <v>0.076562457990528</v>
      </c>
      <c r="K63" s="4">
        <f t="shared" si="5"/>
        <v>-160.539299155313</v>
      </c>
      <c r="L63" s="4">
        <f t="shared" si="6"/>
        <v>15.7338500556468</v>
      </c>
      <c r="M63" s="4">
        <f t="shared" si="7"/>
        <v>-73.9626695166406</v>
      </c>
    </row>
    <row r="64" spans="1:13">
      <c r="A64">
        <v>1158.81836</v>
      </c>
      <c r="B64">
        <v>-5064</v>
      </c>
      <c r="C64">
        <v>-11175370</v>
      </c>
      <c r="D64">
        <v>1021416</v>
      </c>
      <c r="E64">
        <v>-5788535</v>
      </c>
      <c r="F64" s="4">
        <f t="shared" si="0"/>
        <v>-0.0772705078125</v>
      </c>
      <c r="G64" s="4">
        <f t="shared" si="1"/>
        <v>-170.522613525391</v>
      </c>
      <c r="H64" s="4">
        <f t="shared" si="2"/>
        <v>15.5855712890625</v>
      </c>
      <c r="I64" s="4">
        <f t="shared" si="3"/>
        <v>-88.3260345458984</v>
      </c>
      <c r="J64" s="4">
        <f t="shared" si="4"/>
        <v>-0.0292514149645155</v>
      </c>
      <c r="K64" s="4">
        <f t="shared" si="5"/>
        <v>-160.093248285391</v>
      </c>
      <c r="L64" s="4">
        <f t="shared" si="6"/>
        <v>15.6335903819105</v>
      </c>
      <c r="M64" s="4">
        <f t="shared" si="7"/>
        <v>-77.8966693058984</v>
      </c>
    </row>
    <row r="65" spans="1:13">
      <c r="A65">
        <v>1205.52686</v>
      </c>
      <c r="B65">
        <v>-12612</v>
      </c>
      <c r="C65">
        <v>-11172047</v>
      </c>
      <c r="D65">
        <v>1010428</v>
      </c>
      <c r="E65">
        <v>-6082062</v>
      </c>
      <c r="F65" s="4">
        <f t="shared" si="0"/>
        <v>-0.19244384765625</v>
      </c>
      <c r="G65" s="4">
        <f t="shared" si="1"/>
        <v>-170.471908569336</v>
      </c>
      <c r="H65" s="4">
        <f t="shared" si="2"/>
        <v>15.4179077148437</v>
      </c>
      <c r="I65" s="4">
        <f t="shared" si="3"/>
        <v>-92.8049011230469</v>
      </c>
      <c r="J65" s="4">
        <f t="shared" si="4"/>
        <v>-0.140470992776493</v>
      </c>
      <c r="K65" s="4">
        <f t="shared" si="5"/>
        <v>-159.622166829336</v>
      </c>
      <c r="L65" s="4">
        <f t="shared" si="6"/>
        <v>15.4698805697235</v>
      </c>
      <c r="M65" s="4">
        <f t="shared" si="7"/>
        <v>-81.9551593830469</v>
      </c>
    </row>
    <row r="66" spans="1:13">
      <c r="A66">
        <v>1254.11804</v>
      </c>
      <c r="B66">
        <v>-21350</v>
      </c>
      <c r="C66">
        <v>-11191584</v>
      </c>
      <c r="D66">
        <v>1014033</v>
      </c>
      <c r="E66">
        <v>-6452364</v>
      </c>
      <c r="F66" s="4">
        <f t="shared" ref="F66:F101" si="8">IF(B66="","",B66/65536)</f>
        <v>-0.325775146484375</v>
      </c>
      <c r="G66" s="4">
        <f t="shared" ref="G66:G101" si="9">IF(C66="","",C66/65536)</f>
        <v>-170.77001953125</v>
      </c>
      <c r="H66" s="4">
        <f t="shared" ref="H66:H101" si="10">IF(D66="","",D66/65536)</f>
        <v>15.4729156494141</v>
      </c>
      <c r="I66" s="4">
        <f t="shared" ref="I66:I101" si="11">IF(E66="","",E66/65536)</f>
        <v>-98.4552612304687</v>
      </c>
      <c r="J66" s="4">
        <f t="shared" ref="J66:J101" si="12">IF(OR(F66="",A66=""),"",F66-20*LOG10(ABS(SIN(PI()*A66/20000)/(PI()*A66/20000))))</f>
        <v>-0.269522564475308</v>
      </c>
      <c r="K66" s="4">
        <f t="shared" ref="K66:K101" si="13">IF(OR(G66="",A66=""),"",G66+180*A66/20000)</f>
        <v>-159.48295717125</v>
      </c>
      <c r="L66" s="4">
        <f t="shared" ref="L66:L101" si="14">IF(OR(H66="",A66=""),"",H66-20*LOG10(ABS(SIN(PI()*A66/20000)/(PI()*A66/20000))))</f>
        <v>15.5291682314231</v>
      </c>
      <c r="M66" s="4">
        <f t="shared" ref="M66:M101" si="15">IF(OR(I66="",A66=""),"",I66+180*A66/20000)</f>
        <v>-87.1681988704688</v>
      </c>
    </row>
    <row r="67" spans="1:13">
      <c r="A67">
        <v>1304.66785</v>
      </c>
      <c r="B67">
        <v>-29506</v>
      </c>
      <c r="C67">
        <v>-11198517</v>
      </c>
      <c r="D67">
        <v>1002880</v>
      </c>
      <c r="E67">
        <v>-6777575</v>
      </c>
      <c r="F67" s="4">
        <f t="shared" si="8"/>
        <v>-0.450225830078125</v>
      </c>
      <c r="G67" s="4">
        <f t="shared" si="9"/>
        <v>-170.87580871582</v>
      </c>
      <c r="H67" s="4">
        <f t="shared" si="10"/>
        <v>15.302734375</v>
      </c>
      <c r="I67" s="4">
        <f t="shared" si="11"/>
        <v>-103.417587280273</v>
      </c>
      <c r="J67" s="4">
        <f t="shared" si="12"/>
        <v>-0.389340603099046</v>
      </c>
      <c r="K67" s="4">
        <f t="shared" si="13"/>
        <v>-159.13379806582</v>
      </c>
      <c r="L67" s="4">
        <f t="shared" si="14"/>
        <v>15.3636196019791</v>
      </c>
      <c r="M67" s="4">
        <f t="shared" si="15"/>
        <v>-91.6755766302734</v>
      </c>
    </row>
    <row r="68" spans="1:13">
      <c r="A68">
        <v>1357.25513</v>
      </c>
      <c r="B68">
        <v>-37654</v>
      </c>
      <c r="C68">
        <v>-11217081</v>
      </c>
      <c r="D68">
        <v>997339</v>
      </c>
      <c r="E68">
        <v>-7124845</v>
      </c>
      <c r="F68" s="4">
        <f t="shared" si="8"/>
        <v>-0.574554443359375</v>
      </c>
      <c r="G68" s="4">
        <f t="shared" si="9"/>
        <v>-171.159072875977</v>
      </c>
      <c r="H68" s="4">
        <f t="shared" si="10"/>
        <v>15.2181854248047</v>
      </c>
      <c r="I68" s="4">
        <f t="shared" si="11"/>
        <v>-108.716506958008</v>
      </c>
      <c r="J68" s="4">
        <f t="shared" si="12"/>
        <v>-0.508654476116437</v>
      </c>
      <c r="K68" s="4">
        <f t="shared" si="13"/>
        <v>-158.943776705977</v>
      </c>
      <c r="L68" s="4">
        <f t="shared" si="14"/>
        <v>15.2840853920476</v>
      </c>
      <c r="M68" s="4">
        <f t="shared" si="15"/>
        <v>-96.5012107880078</v>
      </c>
    </row>
    <row r="69" spans="1:13">
      <c r="A69">
        <v>1411.96204</v>
      </c>
      <c r="B69">
        <v>-47000</v>
      </c>
      <c r="C69">
        <v>-11227681</v>
      </c>
      <c r="D69">
        <v>977127</v>
      </c>
      <c r="E69">
        <v>-7483001</v>
      </c>
      <c r="F69" s="4">
        <f t="shared" si="8"/>
        <v>-0.7171630859375</v>
      </c>
      <c r="G69" s="4">
        <f t="shared" si="9"/>
        <v>-171.320816040039</v>
      </c>
      <c r="H69" s="4">
        <f t="shared" si="10"/>
        <v>14.9097747802734</v>
      </c>
      <c r="I69" s="4">
        <f t="shared" si="11"/>
        <v>-114.181533813477</v>
      </c>
      <c r="J69" s="4">
        <f t="shared" si="12"/>
        <v>-0.645834664774007</v>
      </c>
      <c r="K69" s="4">
        <f t="shared" si="13"/>
        <v>-158.613157680039</v>
      </c>
      <c r="L69" s="4">
        <f t="shared" si="14"/>
        <v>14.9811032014369</v>
      </c>
      <c r="M69" s="4">
        <f t="shared" si="15"/>
        <v>-101.473875453477</v>
      </c>
    </row>
    <row r="70" spans="1:13">
      <c r="A70">
        <v>1468.87402</v>
      </c>
      <c r="B70">
        <v>-56172</v>
      </c>
      <c r="C70">
        <v>-11241489</v>
      </c>
      <c r="D70">
        <v>955499</v>
      </c>
      <c r="E70">
        <v>-7826145</v>
      </c>
      <c r="F70" s="4">
        <f t="shared" si="8"/>
        <v>-0.85711669921875</v>
      </c>
      <c r="G70" s="4">
        <f t="shared" si="9"/>
        <v>-171.531509399414</v>
      </c>
      <c r="H70" s="4">
        <f t="shared" si="10"/>
        <v>14.5797576904297</v>
      </c>
      <c r="I70" s="4">
        <f t="shared" si="11"/>
        <v>-119.417495727539</v>
      </c>
      <c r="J70" s="4">
        <f t="shared" si="12"/>
        <v>-0.779911861650884</v>
      </c>
      <c r="K70" s="4">
        <f t="shared" si="13"/>
        <v>-158.311643219414</v>
      </c>
      <c r="L70" s="4">
        <f t="shared" si="14"/>
        <v>14.6569625279976</v>
      </c>
      <c r="M70" s="4">
        <f t="shared" si="15"/>
        <v>-106.197629547539</v>
      </c>
    </row>
    <row r="71" spans="1:13">
      <c r="A71">
        <v>1528.07996</v>
      </c>
      <c r="B71">
        <v>-63199</v>
      </c>
      <c r="C71">
        <v>-11267215</v>
      </c>
      <c r="D71">
        <v>946483</v>
      </c>
      <c r="E71">
        <v>-8133021</v>
      </c>
      <c r="F71" s="4">
        <f t="shared" si="8"/>
        <v>-0.964340209960937</v>
      </c>
      <c r="G71" s="4">
        <f t="shared" si="9"/>
        <v>-171.924057006836</v>
      </c>
      <c r="H71" s="4">
        <f t="shared" si="10"/>
        <v>14.4421844482422</v>
      </c>
      <c r="I71" s="4">
        <f t="shared" si="11"/>
        <v>-124.100051879883</v>
      </c>
      <c r="J71" s="4">
        <f t="shared" si="12"/>
        <v>-0.88077388851795</v>
      </c>
      <c r="K71" s="4">
        <f t="shared" si="13"/>
        <v>-158.171337366836</v>
      </c>
      <c r="L71" s="4">
        <f t="shared" si="14"/>
        <v>14.5257507696852</v>
      </c>
      <c r="M71" s="4">
        <f t="shared" si="15"/>
        <v>-110.347332239883</v>
      </c>
    </row>
    <row r="72" spans="1:13">
      <c r="A72">
        <v>1589.67236</v>
      </c>
      <c r="B72">
        <v>-73283</v>
      </c>
      <c r="C72">
        <v>-11322563</v>
      </c>
      <c r="D72">
        <v>938492</v>
      </c>
      <c r="E72">
        <v>-8641808</v>
      </c>
      <c r="F72" s="4">
        <f t="shared" si="8"/>
        <v>-1.11820983886719</v>
      </c>
      <c r="G72" s="4">
        <f t="shared" si="9"/>
        <v>-172.768600463867</v>
      </c>
      <c r="H72" s="4">
        <f t="shared" si="10"/>
        <v>14.3202514648437</v>
      </c>
      <c r="I72" s="4">
        <f t="shared" si="11"/>
        <v>-131.863525390625</v>
      </c>
      <c r="J72" s="4">
        <f t="shared" si="12"/>
        <v>-1.02775676080883</v>
      </c>
      <c r="K72" s="4">
        <f t="shared" si="13"/>
        <v>-158.461549223867</v>
      </c>
      <c r="L72" s="4">
        <f t="shared" si="14"/>
        <v>14.4107045429021</v>
      </c>
      <c r="M72" s="4">
        <f t="shared" si="15"/>
        <v>-117.556474150625</v>
      </c>
    </row>
    <row r="73" spans="1:13">
      <c r="A73">
        <v>1653.74731</v>
      </c>
      <c r="B73">
        <v>-85035</v>
      </c>
      <c r="C73">
        <v>-11335168</v>
      </c>
      <c r="D73">
        <v>892500</v>
      </c>
      <c r="E73">
        <v>-8975212</v>
      </c>
      <c r="F73" s="4">
        <f t="shared" si="8"/>
        <v>-1.29753112792969</v>
      </c>
      <c r="G73" s="4">
        <f t="shared" si="9"/>
        <v>-172.9609375</v>
      </c>
      <c r="H73" s="4">
        <f t="shared" si="10"/>
        <v>13.6184692382812</v>
      </c>
      <c r="I73" s="4">
        <f t="shared" si="11"/>
        <v>-136.950866699219</v>
      </c>
      <c r="J73" s="4">
        <f t="shared" si="12"/>
        <v>-1.19962247121875</v>
      </c>
      <c r="K73" s="4">
        <f t="shared" si="13"/>
        <v>-158.07721171</v>
      </c>
      <c r="L73" s="4">
        <f t="shared" si="14"/>
        <v>13.7163778949922</v>
      </c>
      <c r="M73" s="4">
        <f t="shared" si="15"/>
        <v>-122.067140909219</v>
      </c>
    </row>
    <row r="74" spans="1:13">
      <c r="A74">
        <v>1720.40503</v>
      </c>
      <c r="B74">
        <v>-94086</v>
      </c>
      <c r="C74">
        <v>-11380832</v>
      </c>
      <c r="D74">
        <v>871793</v>
      </c>
      <c r="E74">
        <v>-9366485</v>
      </c>
      <c r="F74" s="4">
        <f t="shared" si="8"/>
        <v>-1.43563842773437</v>
      </c>
      <c r="G74" s="4">
        <f t="shared" si="9"/>
        <v>-173.65771484375</v>
      </c>
      <c r="H74" s="4">
        <f t="shared" si="10"/>
        <v>13.3025054931641</v>
      </c>
      <c r="I74" s="4">
        <f t="shared" si="11"/>
        <v>-142.92121887207</v>
      </c>
      <c r="J74" s="4">
        <f t="shared" si="12"/>
        <v>-1.32965814652538</v>
      </c>
      <c r="K74" s="4">
        <f t="shared" si="13"/>
        <v>-158.17406957375</v>
      </c>
      <c r="L74" s="4">
        <f t="shared" si="14"/>
        <v>13.4084857743731</v>
      </c>
      <c r="M74" s="4">
        <f t="shared" si="15"/>
        <v>-127.43757360207</v>
      </c>
    </row>
    <row r="75" spans="1:13">
      <c r="A75">
        <v>1789.74951</v>
      </c>
      <c r="B75">
        <v>-103719</v>
      </c>
      <c r="C75">
        <v>-11435149</v>
      </c>
      <c r="D75">
        <v>846717</v>
      </c>
      <c r="E75">
        <v>-9785145</v>
      </c>
      <c r="F75" s="4">
        <f t="shared" si="8"/>
        <v>-1.58262634277344</v>
      </c>
      <c r="G75" s="4">
        <f t="shared" si="9"/>
        <v>-174.486526489258</v>
      </c>
      <c r="H75" s="4">
        <f t="shared" si="10"/>
        <v>12.9198760986328</v>
      </c>
      <c r="I75" s="4">
        <f t="shared" si="11"/>
        <v>-149.309463500977</v>
      </c>
      <c r="J75" s="4">
        <f t="shared" si="12"/>
        <v>-1.46790724240865</v>
      </c>
      <c r="K75" s="4">
        <f t="shared" si="13"/>
        <v>-158.378780899258</v>
      </c>
      <c r="L75" s="4">
        <f t="shared" si="14"/>
        <v>13.0345951989976</v>
      </c>
      <c r="M75" s="4">
        <f t="shared" si="15"/>
        <v>-133.201717910977</v>
      </c>
    </row>
    <row r="76" spans="1:13">
      <c r="A76">
        <v>1861.88904</v>
      </c>
      <c r="B76">
        <v>-114333</v>
      </c>
      <c r="C76">
        <v>-11480011</v>
      </c>
      <c r="D76">
        <v>809628</v>
      </c>
      <c r="E76">
        <v>-10140322</v>
      </c>
      <c r="F76" s="4">
        <f t="shared" si="8"/>
        <v>-1.74458312988281</v>
      </c>
      <c r="G76" s="4">
        <f t="shared" si="9"/>
        <v>-175.17106628418</v>
      </c>
      <c r="H76" s="4">
        <f t="shared" si="10"/>
        <v>12.3539428710937</v>
      </c>
      <c r="I76" s="4">
        <f t="shared" si="11"/>
        <v>-154.729034423828</v>
      </c>
      <c r="J76" s="4">
        <f t="shared" si="12"/>
        <v>-1.62040256116692</v>
      </c>
      <c r="K76" s="4">
        <f t="shared" si="13"/>
        <v>-158.41406492418</v>
      </c>
      <c r="L76" s="4">
        <f t="shared" si="14"/>
        <v>12.4781234398096</v>
      </c>
      <c r="M76" s="4">
        <f t="shared" si="15"/>
        <v>-137.972033063828</v>
      </c>
    </row>
    <row r="77" spans="1:13">
      <c r="A77">
        <v>1936.93628</v>
      </c>
      <c r="B77">
        <v>-122419</v>
      </c>
      <c r="C77">
        <v>-11551115</v>
      </c>
      <c r="D77">
        <v>787531</v>
      </c>
      <c r="E77">
        <v>-10561159</v>
      </c>
      <c r="F77" s="4">
        <f t="shared" si="8"/>
        <v>-1.86796569824219</v>
      </c>
      <c r="G77" s="4">
        <f t="shared" si="9"/>
        <v>-176.25602722168</v>
      </c>
      <c r="H77" s="4">
        <f t="shared" si="10"/>
        <v>12.0167694091797</v>
      </c>
      <c r="I77" s="4">
        <f t="shared" si="11"/>
        <v>-161.150497436523</v>
      </c>
      <c r="J77" s="4">
        <f t="shared" si="12"/>
        <v>-1.733540894696</v>
      </c>
      <c r="K77" s="4">
        <f t="shared" si="13"/>
        <v>-158.82360070168</v>
      </c>
      <c r="L77" s="4">
        <f t="shared" si="14"/>
        <v>12.1511942127259</v>
      </c>
      <c r="M77" s="4">
        <f t="shared" si="15"/>
        <v>-143.718070916523</v>
      </c>
    </row>
    <row r="78" spans="1:13">
      <c r="A78">
        <v>2015.00842</v>
      </c>
      <c r="B78">
        <v>-132078</v>
      </c>
      <c r="C78">
        <v>-11583373</v>
      </c>
      <c r="D78">
        <v>747871</v>
      </c>
      <c r="E78">
        <v>-10784555</v>
      </c>
      <c r="F78" s="4">
        <f t="shared" si="8"/>
        <v>-2.01535034179687</v>
      </c>
      <c r="G78" s="4">
        <f t="shared" si="9"/>
        <v>-176.748245239258</v>
      </c>
      <c r="H78" s="4">
        <f t="shared" si="10"/>
        <v>11.4116058349609</v>
      </c>
      <c r="I78" s="4">
        <f t="shared" si="11"/>
        <v>-164.55924987793</v>
      </c>
      <c r="J78" s="4">
        <f t="shared" si="12"/>
        <v>-1.86983335794522</v>
      </c>
      <c r="K78" s="4">
        <f t="shared" si="13"/>
        <v>-158.613169459258</v>
      </c>
      <c r="L78" s="4">
        <f t="shared" si="14"/>
        <v>11.5571228188126</v>
      </c>
      <c r="M78" s="4">
        <f t="shared" si="15"/>
        <v>-146.42417409793</v>
      </c>
    </row>
    <row r="79" spans="1:13">
      <c r="A79">
        <v>2096.22729</v>
      </c>
      <c r="B79">
        <v>-143318</v>
      </c>
      <c r="C79">
        <v>-11671666</v>
      </c>
      <c r="D79">
        <v>707143</v>
      </c>
      <c r="E79">
        <v>-11238223</v>
      </c>
      <c r="F79" s="4">
        <f t="shared" si="8"/>
        <v>-2.18685913085937</v>
      </c>
      <c r="G79" s="4">
        <f t="shared" si="9"/>
        <v>-178.095489501953</v>
      </c>
      <c r="H79" s="4">
        <f t="shared" si="10"/>
        <v>10.7901458740234</v>
      </c>
      <c r="I79" s="4">
        <f t="shared" si="11"/>
        <v>-171.481674194336</v>
      </c>
      <c r="J79" s="4">
        <f t="shared" si="12"/>
        <v>-2.02933135459675</v>
      </c>
      <c r="K79" s="4">
        <f t="shared" si="13"/>
        <v>-159.229443891953</v>
      </c>
      <c r="L79" s="4">
        <f t="shared" si="14"/>
        <v>10.9476736502861</v>
      </c>
      <c r="M79" s="4">
        <f t="shared" si="15"/>
        <v>-152.615628584336</v>
      </c>
    </row>
    <row r="80" spans="1:13">
      <c r="A80">
        <v>2180.71997</v>
      </c>
      <c r="B80">
        <v>-152985</v>
      </c>
      <c r="C80">
        <v>-11738473</v>
      </c>
      <c r="D80">
        <v>668865</v>
      </c>
      <c r="E80">
        <v>-11550027</v>
      </c>
      <c r="F80" s="4">
        <f t="shared" si="8"/>
        <v>-2.33436584472656</v>
      </c>
      <c r="G80" s="4">
        <f t="shared" si="9"/>
        <v>-179.114883422852</v>
      </c>
      <c r="H80" s="4">
        <f t="shared" si="10"/>
        <v>10.2060699462891</v>
      </c>
      <c r="I80" s="4">
        <f t="shared" si="11"/>
        <v>-176.23942565918</v>
      </c>
      <c r="J80" s="4">
        <f t="shared" si="12"/>
        <v>-2.16383196950607</v>
      </c>
      <c r="K80" s="4">
        <f t="shared" si="13"/>
        <v>-159.488403692852</v>
      </c>
      <c r="L80" s="4">
        <f t="shared" si="14"/>
        <v>10.3766038215096</v>
      </c>
      <c r="M80" s="4">
        <f t="shared" si="15"/>
        <v>-156.61294592918</v>
      </c>
    </row>
    <row r="81" spans="1:13">
      <c r="A81">
        <v>2268.61841</v>
      </c>
      <c r="B81">
        <v>-164911</v>
      </c>
      <c r="C81">
        <v>11748441</v>
      </c>
      <c r="D81">
        <v>620267</v>
      </c>
      <c r="E81">
        <v>11605144</v>
      </c>
      <c r="F81" s="4">
        <f t="shared" si="8"/>
        <v>-2.51634216308594</v>
      </c>
      <c r="G81" s="4">
        <f t="shared" si="9"/>
        <v>179.266983032227</v>
      </c>
      <c r="H81" s="4">
        <f t="shared" si="10"/>
        <v>9.46452331542969</v>
      </c>
      <c r="I81" s="4">
        <f t="shared" si="11"/>
        <v>177.080444335937</v>
      </c>
      <c r="J81" s="4">
        <f t="shared" si="12"/>
        <v>-2.33172372356195</v>
      </c>
      <c r="K81" s="4">
        <f t="shared" si="13"/>
        <v>199.684548722227</v>
      </c>
      <c r="L81" s="4">
        <f t="shared" si="14"/>
        <v>9.64914175495367</v>
      </c>
      <c r="M81" s="4">
        <f t="shared" si="15"/>
        <v>197.498010025938</v>
      </c>
    </row>
    <row r="82" spans="1:13">
      <c r="A82">
        <v>2360.05981</v>
      </c>
      <c r="B82">
        <v>-175455</v>
      </c>
      <c r="C82">
        <v>11673556</v>
      </c>
      <c r="D82">
        <v>576803</v>
      </c>
      <c r="E82">
        <v>11334307</v>
      </c>
      <c r="F82" s="4">
        <f t="shared" si="8"/>
        <v>-2.67723083496094</v>
      </c>
      <c r="G82" s="4">
        <f t="shared" si="9"/>
        <v>178.124328613281</v>
      </c>
      <c r="H82" s="4">
        <f t="shared" si="10"/>
        <v>8.80131530761719</v>
      </c>
      <c r="I82" s="4">
        <f t="shared" si="11"/>
        <v>172.947799682617</v>
      </c>
      <c r="J82" s="4">
        <f t="shared" si="12"/>
        <v>-2.47735915209296</v>
      </c>
      <c r="K82" s="4">
        <f t="shared" si="13"/>
        <v>199.364866903281</v>
      </c>
      <c r="L82" s="4">
        <f t="shared" si="14"/>
        <v>9.00118699048516</v>
      </c>
      <c r="M82" s="4">
        <f t="shared" si="15"/>
        <v>194.188337972617</v>
      </c>
    </row>
    <row r="83" spans="1:13">
      <c r="A83">
        <v>2455.18677</v>
      </c>
      <c r="B83">
        <v>-188067</v>
      </c>
      <c r="C83">
        <v>11540973</v>
      </c>
      <c r="D83">
        <v>522125</v>
      </c>
      <c r="E83">
        <v>10898687</v>
      </c>
      <c r="F83" s="4">
        <f t="shared" si="8"/>
        <v>-2.86967468261719</v>
      </c>
      <c r="G83" s="4">
        <f t="shared" si="9"/>
        <v>176.101272583008</v>
      </c>
      <c r="H83" s="4">
        <f t="shared" si="10"/>
        <v>7.96699523925781</v>
      </c>
      <c r="I83" s="4">
        <f t="shared" si="11"/>
        <v>166.300765991211</v>
      </c>
      <c r="J83" s="4">
        <f t="shared" si="12"/>
        <v>-2.65328320131327</v>
      </c>
      <c r="K83" s="4">
        <f t="shared" si="13"/>
        <v>198.197953513008</v>
      </c>
      <c r="L83" s="4">
        <f t="shared" si="14"/>
        <v>8.18338672056173</v>
      </c>
      <c r="M83" s="4">
        <f t="shared" si="15"/>
        <v>188.397446921211</v>
      </c>
    </row>
    <row r="84" spans="1:13">
      <c r="A84">
        <v>2554.14819</v>
      </c>
      <c r="B84">
        <v>-196866</v>
      </c>
      <c r="C84">
        <v>11443284</v>
      </c>
      <c r="D84">
        <v>483056</v>
      </c>
      <c r="E84">
        <v>10612209</v>
      </c>
      <c r="F84" s="4">
        <f t="shared" si="8"/>
        <v>-3.00393676757812</v>
      </c>
      <c r="G84" s="4">
        <f t="shared" si="9"/>
        <v>174.610656738281</v>
      </c>
      <c r="H84" s="4">
        <f t="shared" si="10"/>
        <v>7.370849609375</v>
      </c>
      <c r="I84" s="4">
        <f t="shared" si="11"/>
        <v>161.929458618164</v>
      </c>
      <c r="J84" s="4">
        <f t="shared" si="12"/>
        <v>-2.76965259498584</v>
      </c>
      <c r="K84" s="4">
        <f t="shared" si="13"/>
        <v>197.597990448281</v>
      </c>
      <c r="L84" s="4">
        <f t="shared" si="14"/>
        <v>7.60513378196729</v>
      </c>
      <c r="M84" s="4">
        <f t="shared" si="15"/>
        <v>184.916792328164</v>
      </c>
    </row>
    <row r="85" spans="1:13">
      <c r="A85">
        <v>2657.09839</v>
      </c>
      <c r="B85">
        <v>-205786</v>
      </c>
      <c r="C85">
        <v>11277584</v>
      </c>
      <c r="D85">
        <v>434850</v>
      </c>
      <c r="E85">
        <v>10150118</v>
      </c>
      <c r="F85" s="4">
        <f t="shared" si="8"/>
        <v>-3.14004516601562</v>
      </c>
      <c r="G85" s="4">
        <f t="shared" si="9"/>
        <v>172.082275390625</v>
      </c>
      <c r="H85" s="4">
        <f t="shared" si="10"/>
        <v>6.63528442382812</v>
      </c>
      <c r="I85" s="4">
        <f t="shared" si="11"/>
        <v>154.878509521484</v>
      </c>
      <c r="J85" s="4">
        <f t="shared" si="12"/>
        <v>-2.8863800594206</v>
      </c>
      <c r="K85" s="4">
        <f t="shared" si="13"/>
        <v>195.996160900625</v>
      </c>
      <c r="L85" s="4">
        <f t="shared" si="14"/>
        <v>6.88894953042315</v>
      </c>
      <c r="M85" s="4">
        <f t="shared" si="15"/>
        <v>178.792395031484</v>
      </c>
    </row>
    <row r="86" spans="1:13">
      <c r="A86">
        <v>2764.19824</v>
      </c>
      <c r="B86">
        <v>-210512</v>
      </c>
      <c r="C86">
        <v>11149185</v>
      </c>
      <c r="D86">
        <v>402521</v>
      </c>
      <c r="E86">
        <v>9814480</v>
      </c>
      <c r="F86" s="4">
        <f t="shared" si="8"/>
        <v>-3.212158203125</v>
      </c>
      <c r="G86" s="4">
        <f t="shared" si="9"/>
        <v>170.123062133789</v>
      </c>
      <c r="H86" s="4">
        <f t="shared" si="10"/>
        <v>6.14198303222656</v>
      </c>
      <c r="I86" s="4">
        <f t="shared" si="11"/>
        <v>149.757080078125</v>
      </c>
      <c r="J86" s="4">
        <f t="shared" si="12"/>
        <v>-2.93749858642673</v>
      </c>
      <c r="K86" s="4">
        <f t="shared" si="13"/>
        <v>195.000846293789</v>
      </c>
      <c r="L86" s="4">
        <f t="shared" si="14"/>
        <v>6.41664264892483</v>
      </c>
      <c r="M86" s="4">
        <f t="shared" si="15"/>
        <v>174.634864238125</v>
      </c>
    </row>
    <row r="87" spans="1:13">
      <c r="A87">
        <v>2875.61499</v>
      </c>
      <c r="B87">
        <v>-219336</v>
      </c>
      <c r="C87">
        <v>11016889</v>
      </c>
      <c r="D87">
        <v>358144</v>
      </c>
      <c r="E87">
        <v>9525766</v>
      </c>
      <c r="F87" s="4">
        <f t="shared" si="8"/>
        <v>-3.3468017578125</v>
      </c>
      <c r="G87" s="4">
        <f t="shared" si="9"/>
        <v>168.104385375977</v>
      </c>
      <c r="H87" s="4">
        <f t="shared" si="10"/>
        <v>5.46484375</v>
      </c>
      <c r="I87" s="4">
        <f t="shared" si="11"/>
        <v>145.351654052734</v>
      </c>
      <c r="J87" s="4">
        <f t="shared" si="12"/>
        <v>-3.04939791908432</v>
      </c>
      <c r="K87" s="4">
        <f t="shared" si="13"/>
        <v>193.984920285977</v>
      </c>
      <c r="L87" s="4">
        <f t="shared" si="14"/>
        <v>5.76224758872818</v>
      </c>
      <c r="M87" s="4">
        <f t="shared" si="15"/>
        <v>171.232188962734</v>
      </c>
    </row>
    <row r="88" spans="1:13">
      <c r="A88">
        <v>2991.52246</v>
      </c>
      <c r="B88">
        <v>-233234</v>
      </c>
      <c r="C88">
        <v>10845803</v>
      </c>
      <c r="D88">
        <v>296779</v>
      </c>
      <c r="E88">
        <v>9210124</v>
      </c>
      <c r="F88" s="4">
        <f t="shared" si="8"/>
        <v>-3.55886840820312</v>
      </c>
      <c r="G88" s="4">
        <f t="shared" si="9"/>
        <v>165.49382019043</v>
      </c>
      <c r="H88" s="4">
        <f t="shared" si="10"/>
        <v>4.52848815917969</v>
      </c>
      <c r="I88" s="4">
        <f t="shared" si="11"/>
        <v>140.535339355469</v>
      </c>
      <c r="J88" s="4">
        <f t="shared" si="12"/>
        <v>-3.23682273493857</v>
      </c>
      <c r="K88" s="4">
        <f t="shared" si="13"/>
        <v>192.41752233043</v>
      </c>
      <c r="L88" s="4">
        <f t="shared" si="14"/>
        <v>4.85053383244425</v>
      </c>
      <c r="M88" s="4">
        <f t="shared" si="15"/>
        <v>167.459041495469</v>
      </c>
    </row>
    <row r="89" spans="1:13">
      <c r="A89">
        <v>3112.10181</v>
      </c>
      <c r="B89">
        <v>-244951</v>
      </c>
      <c r="C89">
        <v>10629225</v>
      </c>
      <c r="D89">
        <v>235908</v>
      </c>
      <c r="E89">
        <v>8821716</v>
      </c>
      <c r="F89" s="4">
        <f t="shared" si="8"/>
        <v>-3.73765563964844</v>
      </c>
      <c r="G89" s="4">
        <f t="shared" si="9"/>
        <v>162.189102172852</v>
      </c>
      <c r="H89" s="4">
        <f t="shared" si="10"/>
        <v>3.59967041015625</v>
      </c>
      <c r="I89" s="4">
        <f t="shared" si="11"/>
        <v>134.608703613281</v>
      </c>
      <c r="J89" s="4">
        <f t="shared" si="12"/>
        <v>-3.38890966988169</v>
      </c>
      <c r="K89" s="4">
        <f t="shared" si="13"/>
        <v>190.198018462852</v>
      </c>
      <c r="L89" s="4">
        <f t="shared" si="14"/>
        <v>3.94841637992299</v>
      </c>
      <c r="M89" s="4">
        <f t="shared" si="15"/>
        <v>162.617619903281</v>
      </c>
    </row>
    <row r="90" spans="1:13">
      <c r="A90">
        <v>3237.5415</v>
      </c>
      <c r="B90">
        <v>-259439</v>
      </c>
      <c r="C90">
        <v>10466047</v>
      </c>
      <c r="D90">
        <v>181065</v>
      </c>
      <c r="E90">
        <v>8599122</v>
      </c>
      <c r="F90" s="4">
        <f t="shared" si="8"/>
        <v>-3.95872497558594</v>
      </c>
      <c r="G90" s="4">
        <f t="shared" si="9"/>
        <v>159.699203491211</v>
      </c>
      <c r="H90" s="4">
        <f t="shared" si="10"/>
        <v>2.76283264160156</v>
      </c>
      <c r="I90" s="4">
        <f t="shared" si="11"/>
        <v>131.212188720703</v>
      </c>
      <c r="J90" s="4">
        <f t="shared" si="12"/>
        <v>-3.58104532223976</v>
      </c>
      <c r="K90" s="4">
        <f t="shared" si="13"/>
        <v>188.837076991211</v>
      </c>
      <c r="L90" s="4">
        <f t="shared" si="14"/>
        <v>3.14051229494774</v>
      </c>
      <c r="M90" s="4">
        <f t="shared" si="15"/>
        <v>160.350062220703</v>
      </c>
    </row>
    <row r="91" spans="1:13">
      <c r="A91">
        <v>3368.03735</v>
      </c>
      <c r="B91">
        <v>-249225</v>
      </c>
      <c r="C91">
        <v>10171318</v>
      </c>
      <c r="D91">
        <v>151368</v>
      </c>
      <c r="E91">
        <v>7996886</v>
      </c>
      <c r="F91" s="4">
        <f t="shared" si="8"/>
        <v>-3.80287170410156</v>
      </c>
      <c r="G91" s="4">
        <f t="shared" si="9"/>
        <v>155.201995849609</v>
      </c>
      <c r="H91" s="4">
        <f t="shared" si="10"/>
        <v>2.3096923828125</v>
      </c>
      <c r="I91" s="4">
        <f t="shared" si="11"/>
        <v>122.022796630859</v>
      </c>
      <c r="J91" s="4">
        <f t="shared" si="12"/>
        <v>-3.39383472643053</v>
      </c>
      <c r="K91" s="4">
        <f t="shared" si="13"/>
        <v>185.514331999609</v>
      </c>
      <c r="L91" s="4">
        <f t="shared" si="14"/>
        <v>2.71872936048353</v>
      </c>
      <c r="M91" s="4">
        <f t="shared" si="15"/>
        <v>152.335132780859</v>
      </c>
    </row>
    <row r="92" spans="1:13">
      <c r="A92">
        <v>3503.79297</v>
      </c>
      <c r="B92">
        <v>-273962</v>
      </c>
      <c r="C92">
        <v>9933712</v>
      </c>
      <c r="D92">
        <v>73560</v>
      </c>
      <c r="E92">
        <v>7784032</v>
      </c>
      <c r="F92" s="4">
        <f t="shared" si="8"/>
        <v>-4.18032836914062</v>
      </c>
      <c r="G92" s="4">
        <f t="shared" si="9"/>
        <v>151.576416015625</v>
      </c>
      <c r="H92" s="4">
        <f t="shared" si="10"/>
        <v>1.1224365234375</v>
      </c>
      <c r="I92" s="4">
        <f t="shared" si="11"/>
        <v>118.77490234375</v>
      </c>
      <c r="J92" s="4">
        <f t="shared" si="12"/>
        <v>-3.73730337808808</v>
      </c>
      <c r="K92" s="4">
        <f t="shared" si="13"/>
        <v>183.110552745625</v>
      </c>
      <c r="L92" s="4">
        <f t="shared" si="14"/>
        <v>1.56546151449004</v>
      </c>
      <c r="M92" s="4">
        <f t="shared" si="15"/>
        <v>150.30903907375</v>
      </c>
    </row>
    <row r="93" spans="1:13">
      <c r="A93">
        <v>3645.02051</v>
      </c>
      <c r="B93">
        <v>-268273</v>
      </c>
      <c r="C93">
        <v>9729281</v>
      </c>
      <c r="D93">
        <v>51020</v>
      </c>
      <c r="E93">
        <v>7441575</v>
      </c>
      <c r="F93" s="4">
        <f t="shared" si="8"/>
        <v>-4.09352111816406</v>
      </c>
      <c r="G93" s="4">
        <f t="shared" si="9"/>
        <v>148.457046508789</v>
      </c>
      <c r="H93" s="4">
        <f t="shared" si="10"/>
        <v>0.77850341796875</v>
      </c>
      <c r="I93" s="4">
        <f t="shared" si="11"/>
        <v>113.549423217773</v>
      </c>
      <c r="J93" s="4">
        <f t="shared" si="12"/>
        <v>-3.61365187452995</v>
      </c>
      <c r="K93" s="4">
        <f t="shared" si="13"/>
        <v>181.262231098789</v>
      </c>
      <c r="L93" s="4">
        <f t="shared" si="14"/>
        <v>1.25837266160286</v>
      </c>
      <c r="M93" s="4">
        <f t="shared" si="15"/>
        <v>146.354607807773</v>
      </c>
    </row>
    <row r="94" spans="1:13">
      <c r="A94">
        <v>3791.94043</v>
      </c>
      <c r="B94">
        <v>-264903</v>
      </c>
      <c r="C94">
        <v>9523532</v>
      </c>
      <c r="D94">
        <v>24633</v>
      </c>
      <c r="E94">
        <v>7134069</v>
      </c>
      <c r="F94" s="4">
        <f t="shared" si="8"/>
        <v>-4.04209899902344</v>
      </c>
      <c r="G94" s="4">
        <f t="shared" si="9"/>
        <v>145.317565917969</v>
      </c>
      <c r="H94" s="4">
        <f t="shared" si="10"/>
        <v>0.375869750976562</v>
      </c>
      <c r="I94" s="4">
        <f t="shared" si="11"/>
        <v>108.85725402832</v>
      </c>
      <c r="J94" s="4">
        <f t="shared" si="12"/>
        <v>-3.52228357975668</v>
      </c>
      <c r="K94" s="4">
        <f t="shared" si="13"/>
        <v>179.445029787969</v>
      </c>
      <c r="L94" s="4">
        <f t="shared" si="14"/>
        <v>0.895685170243318</v>
      </c>
      <c r="M94" s="4">
        <f t="shared" si="15"/>
        <v>142.98471789832</v>
      </c>
    </row>
    <row r="95" spans="1:13">
      <c r="A95">
        <v>3944.78223</v>
      </c>
      <c r="B95">
        <v>-295286</v>
      </c>
      <c r="C95">
        <v>9087511</v>
      </c>
      <c r="D95">
        <v>-74525</v>
      </c>
      <c r="E95">
        <v>6766631</v>
      </c>
      <c r="F95" s="4">
        <f t="shared" si="8"/>
        <v>-4.50570678710937</v>
      </c>
      <c r="G95" s="4">
        <f t="shared" si="9"/>
        <v>138.664413452148</v>
      </c>
      <c r="H95" s="4">
        <f t="shared" si="10"/>
        <v>-1.13716125488281</v>
      </c>
      <c r="I95" s="4">
        <f t="shared" si="11"/>
        <v>103.250595092773</v>
      </c>
      <c r="J95" s="4">
        <f t="shared" si="12"/>
        <v>-3.94257538902662</v>
      </c>
      <c r="K95" s="4">
        <f t="shared" si="13"/>
        <v>174.167453522148</v>
      </c>
      <c r="L95" s="4">
        <f t="shared" si="14"/>
        <v>-0.574029856800061</v>
      </c>
      <c r="M95" s="4">
        <f t="shared" si="15"/>
        <v>138.753635162773</v>
      </c>
    </row>
    <row r="96" spans="1:13">
      <c r="A96">
        <v>4103.78467</v>
      </c>
      <c r="B96">
        <v>-280806</v>
      </c>
      <c r="C96">
        <v>8622613</v>
      </c>
      <c r="D96">
        <v>-117051</v>
      </c>
      <c r="E96">
        <v>6163421</v>
      </c>
      <c r="F96" s="4">
        <f t="shared" si="8"/>
        <v>-4.28475952148437</v>
      </c>
      <c r="G96" s="4">
        <f t="shared" si="9"/>
        <v>131.57063293457</v>
      </c>
      <c r="H96" s="4">
        <f t="shared" si="10"/>
        <v>-1.78605651855469</v>
      </c>
      <c r="I96" s="4">
        <f t="shared" si="11"/>
        <v>94.0463409423828</v>
      </c>
      <c r="J96" s="4">
        <f t="shared" si="12"/>
        <v>-3.67465011411722</v>
      </c>
      <c r="K96" s="4">
        <f t="shared" si="13"/>
        <v>168.50469496457</v>
      </c>
      <c r="L96" s="4">
        <f t="shared" si="14"/>
        <v>-1.17594711118753</v>
      </c>
      <c r="M96" s="4">
        <f t="shared" si="15"/>
        <v>130.980402972383</v>
      </c>
    </row>
    <row r="97" spans="1:13">
      <c r="A97">
        <v>4269.19629</v>
      </c>
      <c r="B97">
        <v>-273780</v>
      </c>
      <c r="C97">
        <v>8557238</v>
      </c>
      <c r="D97">
        <v>-117764</v>
      </c>
      <c r="E97">
        <v>6057366</v>
      </c>
      <c r="F97" s="4">
        <f t="shared" si="8"/>
        <v>-4.17755126953125</v>
      </c>
      <c r="G97" s="4">
        <f t="shared" si="9"/>
        <v>130.573089599609</v>
      </c>
      <c r="H97" s="4">
        <f t="shared" si="10"/>
        <v>-1.79693603515625</v>
      </c>
      <c r="I97" s="4">
        <f t="shared" si="11"/>
        <v>92.4280700683594</v>
      </c>
      <c r="J97" s="4">
        <f t="shared" si="12"/>
        <v>-3.51648276725367</v>
      </c>
      <c r="K97" s="4">
        <f t="shared" si="13"/>
        <v>168.995856209609</v>
      </c>
      <c r="L97" s="4">
        <f t="shared" si="14"/>
        <v>-1.13586753287867</v>
      </c>
      <c r="M97" s="4">
        <f t="shared" si="15"/>
        <v>130.850836678359</v>
      </c>
    </row>
    <row r="98" spans="1:13">
      <c r="A98">
        <v>4441.2749</v>
      </c>
      <c r="B98">
        <v>-290013</v>
      </c>
      <c r="C98">
        <v>7999693</v>
      </c>
      <c r="D98">
        <v>-197709</v>
      </c>
      <c r="E98">
        <v>5589260</v>
      </c>
      <c r="F98" s="4">
        <f t="shared" si="8"/>
        <v>-4.42524719238281</v>
      </c>
      <c r="G98" s="4">
        <f t="shared" si="9"/>
        <v>122.065628051758</v>
      </c>
      <c r="H98" s="4">
        <f t="shared" si="10"/>
        <v>-3.01679992675781</v>
      </c>
      <c r="I98" s="4">
        <f t="shared" si="11"/>
        <v>85.2853393554687</v>
      </c>
      <c r="J98" s="4">
        <f t="shared" si="12"/>
        <v>-3.70889019223569</v>
      </c>
      <c r="K98" s="4">
        <f t="shared" si="13"/>
        <v>162.037102151758</v>
      </c>
      <c r="L98" s="4">
        <f t="shared" si="14"/>
        <v>-2.30044292661069</v>
      </c>
      <c r="M98" s="4">
        <f t="shared" si="15"/>
        <v>125.256813455469</v>
      </c>
    </row>
    <row r="99" spans="1:13">
      <c r="A99">
        <v>4620.28955</v>
      </c>
      <c r="B99">
        <v>-283386</v>
      </c>
      <c r="C99">
        <v>7789418</v>
      </c>
      <c r="D99">
        <v>-213673</v>
      </c>
      <c r="E99">
        <v>5365176</v>
      </c>
      <c r="F99" s="4">
        <f t="shared" si="8"/>
        <v>-4.32412719726562</v>
      </c>
      <c r="G99" s="4">
        <f t="shared" si="9"/>
        <v>118.857086181641</v>
      </c>
      <c r="H99" s="4">
        <f t="shared" si="10"/>
        <v>-3.26039123535156</v>
      </c>
      <c r="I99" s="4">
        <f t="shared" si="11"/>
        <v>81.8660888671875</v>
      </c>
      <c r="J99" s="4">
        <f t="shared" si="12"/>
        <v>-3.54777118864446</v>
      </c>
      <c r="K99" s="4">
        <f t="shared" si="13"/>
        <v>160.439692131641</v>
      </c>
      <c r="L99" s="4">
        <f t="shared" si="14"/>
        <v>-2.4840352267304</v>
      </c>
      <c r="M99" s="4">
        <f t="shared" si="15"/>
        <v>123.448694817188</v>
      </c>
    </row>
    <row r="100" spans="1:13">
      <c r="A100">
        <v>4806.51953</v>
      </c>
      <c r="B100">
        <v>-298361</v>
      </c>
      <c r="C100">
        <v>7214053</v>
      </c>
      <c r="D100">
        <v>-281962</v>
      </c>
      <c r="E100">
        <v>4926061</v>
      </c>
      <c r="F100" s="4">
        <f t="shared" si="8"/>
        <v>-4.55262756347656</v>
      </c>
      <c r="G100" s="4">
        <f t="shared" si="9"/>
        <v>110.077713012695</v>
      </c>
      <c r="H100" s="4">
        <f t="shared" si="10"/>
        <v>-4.30239868164062</v>
      </c>
      <c r="I100" s="4">
        <f t="shared" si="11"/>
        <v>75.1657257080078</v>
      </c>
      <c r="J100" s="4">
        <f t="shared" si="12"/>
        <v>-3.71114517046701</v>
      </c>
      <c r="K100" s="4">
        <f t="shared" si="13"/>
        <v>153.336388782695</v>
      </c>
      <c r="L100" s="4">
        <f t="shared" si="14"/>
        <v>-3.46091628863108</v>
      </c>
      <c r="M100" s="4">
        <f t="shared" si="15"/>
        <v>118.424401478008</v>
      </c>
    </row>
    <row r="101" spans="1:13">
      <c r="A101">
        <v>5000.25635</v>
      </c>
      <c r="B101">
        <v>-332844</v>
      </c>
      <c r="C101">
        <v>6813900</v>
      </c>
      <c r="D101">
        <v>-344404</v>
      </c>
      <c r="E101">
        <v>4716989</v>
      </c>
      <c r="F101" s="4">
        <f t="shared" si="8"/>
        <v>-5.07879638671875</v>
      </c>
      <c r="G101" s="4">
        <f t="shared" si="9"/>
        <v>103.971862792969</v>
      </c>
      <c r="H101" s="4">
        <f t="shared" si="10"/>
        <v>-5.25518798828125</v>
      </c>
      <c r="I101" s="4">
        <f t="shared" si="11"/>
        <v>71.9755401611328</v>
      </c>
      <c r="J101" s="4">
        <f t="shared" si="12"/>
        <v>-4.16660323240415</v>
      </c>
      <c r="K101" s="4">
        <f t="shared" si="13"/>
        <v>148.974169942969</v>
      </c>
      <c r="L101" s="4">
        <f t="shared" si="14"/>
        <v>-4.34299483396665</v>
      </c>
      <c r="M101" s="4">
        <f t="shared" si="15"/>
        <v>116.977847311133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</cp:lastModifiedBy>
  <dcterms:created xsi:type="dcterms:W3CDTF">2026-10-29T10:10:00Z</dcterms:created>
  <dcterms:modified xsi:type="dcterms:W3CDTF">2026-10-29T10:25:16Z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AB58E76B7C4F465391A2BD51ABEF495A_12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